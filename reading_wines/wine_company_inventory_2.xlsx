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intkentigern-my.sharepoint.com/personal/h_c_sutton_student_saintkentigern_com/Documents/Desktop/COMSCI 2026/1_g1t/UI Layout 5/reading_wines/"/>
    </mc:Choice>
  </mc:AlternateContent>
  <xr:revisionPtr revIDLastSave="3" documentId="11_1FE3428F98DFD66236FBDE74A25C01AF3C017CDD" xr6:coauthVersionLast="47" xr6:coauthVersionMax="47" xr10:uidLastSave="{20C97B4B-A982-57BE-AD6C-5FC0DB2C4D69}"/>
  <bookViews>
    <workbookView xWindow="-110" yWindow="-110" windowWidth="19420" windowHeight="10300" xr2:uid="{00000000-000D-0000-FFFF-FFFF00000000}"/>
  </bookViews>
  <sheets>
    <sheet name="Wine Inventory" sheetId="1" r:id="rId1"/>
    <sheet name="Country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C46" i="2" s="1"/>
  <c r="B45" i="2"/>
  <c r="C45" i="2" s="1"/>
  <c r="B44" i="2"/>
  <c r="C44" i="2" s="1"/>
  <c r="C43" i="2"/>
  <c r="B43" i="2"/>
  <c r="B42" i="2"/>
  <c r="C42" i="2" s="1"/>
  <c r="B41" i="2"/>
  <c r="C41" i="2" s="1"/>
  <c r="B40" i="2"/>
  <c r="C40" i="2" s="1"/>
  <c r="C39" i="2"/>
  <c r="B39" i="2"/>
  <c r="B38" i="2"/>
  <c r="C38" i="2" s="1"/>
  <c r="B37" i="2"/>
  <c r="C37" i="2" s="1"/>
  <c r="B36" i="2"/>
  <c r="C36" i="2" s="1"/>
  <c r="C35" i="2"/>
  <c r="B35" i="2"/>
  <c r="B34" i="2"/>
  <c r="C34" i="2" s="1"/>
  <c r="B33" i="2"/>
  <c r="C33" i="2" s="1"/>
  <c r="B32" i="2"/>
  <c r="C32" i="2" s="1"/>
  <c r="C31" i="2"/>
  <c r="B31" i="2"/>
  <c r="B30" i="2"/>
  <c r="C30" i="2" s="1"/>
  <c r="B29" i="2"/>
  <c r="C29" i="2" s="1"/>
  <c r="B28" i="2"/>
  <c r="C28" i="2" s="1"/>
  <c r="C27" i="2"/>
  <c r="B27" i="2"/>
  <c r="B26" i="2"/>
  <c r="C26" i="2" s="1"/>
  <c r="B25" i="2"/>
  <c r="C25" i="2" s="1"/>
  <c r="B24" i="2"/>
  <c r="C24" i="2" s="1"/>
  <c r="C23" i="2"/>
  <c r="B23" i="2"/>
  <c r="B22" i="2"/>
  <c r="C22" i="2" s="1"/>
  <c r="B21" i="2"/>
  <c r="C21" i="2" s="1"/>
  <c r="B20" i="2"/>
  <c r="C20" i="2" s="1"/>
  <c r="C19" i="2"/>
  <c r="B19" i="2"/>
  <c r="B18" i="2"/>
  <c r="C18" i="2" s="1"/>
  <c r="B17" i="2"/>
  <c r="C17" i="2" s="1"/>
  <c r="B16" i="2"/>
  <c r="C16" i="2" s="1"/>
  <c r="C15" i="2"/>
  <c r="B15" i="2"/>
  <c r="B14" i="2"/>
  <c r="C14" i="2" s="1"/>
  <c r="B13" i="2"/>
  <c r="C13" i="2" s="1"/>
  <c r="B12" i="2"/>
  <c r="C12" i="2" s="1"/>
  <c r="C11" i="2"/>
  <c r="B11" i="2"/>
  <c r="B10" i="2"/>
  <c r="C10" i="2" s="1"/>
  <c r="B9" i="2"/>
  <c r="C9" i="2" s="1"/>
  <c r="B8" i="2"/>
  <c r="C8" i="2" s="1"/>
  <c r="C7" i="2"/>
  <c r="B7" i="2"/>
  <c r="B6" i="2"/>
  <c r="C6" i="2" s="1"/>
  <c r="B5" i="2"/>
  <c r="C5" i="2" s="1"/>
  <c r="B4" i="2"/>
  <c r="C4" i="2" s="1"/>
  <c r="C3" i="2"/>
  <c r="B3" i="2"/>
  <c r="B2" i="2"/>
  <c r="B47" i="2" s="1"/>
  <c r="U251" i="1"/>
  <c r="R251" i="1"/>
  <c r="U250" i="1"/>
  <c r="R250" i="1"/>
  <c r="U249" i="1"/>
  <c r="R249" i="1"/>
  <c r="U248" i="1"/>
  <c r="R248" i="1"/>
  <c r="U247" i="1"/>
  <c r="R247" i="1"/>
  <c r="U246" i="1"/>
  <c r="R246" i="1"/>
  <c r="U245" i="1"/>
  <c r="R245" i="1"/>
  <c r="U244" i="1"/>
  <c r="R244" i="1"/>
  <c r="U243" i="1"/>
  <c r="R243" i="1"/>
  <c r="U242" i="1"/>
  <c r="R242" i="1"/>
  <c r="U241" i="1"/>
  <c r="R241" i="1"/>
  <c r="U240" i="1"/>
  <c r="R240" i="1"/>
  <c r="U239" i="1"/>
  <c r="R239" i="1"/>
  <c r="U238" i="1"/>
  <c r="R238" i="1"/>
  <c r="U237" i="1"/>
  <c r="R237" i="1"/>
  <c r="U236" i="1"/>
  <c r="R236" i="1"/>
  <c r="U235" i="1"/>
  <c r="R235" i="1"/>
  <c r="U234" i="1"/>
  <c r="R234" i="1"/>
  <c r="U233" i="1"/>
  <c r="R233" i="1"/>
  <c r="U232" i="1"/>
  <c r="R232" i="1"/>
  <c r="U231" i="1"/>
  <c r="R231" i="1"/>
  <c r="U230" i="1"/>
  <c r="R230" i="1"/>
  <c r="U229" i="1"/>
  <c r="R229" i="1"/>
  <c r="U228" i="1"/>
  <c r="R228" i="1"/>
  <c r="U227" i="1"/>
  <c r="R227" i="1"/>
  <c r="U226" i="1"/>
  <c r="R226" i="1"/>
  <c r="U225" i="1"/>
  <c r="R225" i="1"/>
  <c r="U224" i="1"/>
  <c r="R224" i="1"/>
  <c r="U223" i="1"/>
  <c r="R223" i="1"/>
  <c r="U222" i="1"/>
  <c r="R222" i="1"/>
  <c r="U221" i="1"/>
  <c r="R221" i="1"/>
  <c r="U220" i="1"/>
  <c r="R220" i="1"/>
  <c r="U219" i="1"/>
  <c r="R219" i="1"/>
  <c r="U218" i="1"/>
  <c r="R218" i="1"/>
  <c r="U217" i="1"/>
  <c r="R217" i="1"/>
  <c r="U216" i="1"/>
  <c r="R216" i="1"/>
  <c r="U215" i="1"/>
  <c r="R215" i="1"/>
  <c r="U214" i="1"/>
  <c r="R214" i="1"/>
  <c r="U213" i="1"/>
  <c r="R213" i="1"/>
  <c r="U212" i="1"/>
  <c r="R212" i="1"/>
  <c r="U211" i="1"/>
  <c r="R211" i="1"/>
  <c r="U210" i="1"/>
  <c r="R210" i="1"/>
  <c r="U209" i="1"/>
  <c r="R209" i="1"/>
  <c r="U208" i="1"/>
  <c r="R208" i="1"/>
  <c r="U207" i="1"/>
  <c r="R207" i="1"/>
  <c r="U206" i="1"/>
  <c r="R206" i="1"/>
  <c r="U205" i="1"/>
  <c r="R205" i="1"/>
  <c r="U204" i="1"/>
  <c r="R204" i="1"/>
  <c r="U203" i="1"/>
  <c r="R203" i="1"/>
  <c r="U202" i="1"/>
  <c r="R202" i="1"/>
  <c r="U201" i="1"/>
  <c r="R201" i="1"/>
  <c r="U200" i="1"/>
  <c r="R200" i="1"/>
  <c r="U199" i="1"/>
  <c r="R199" i="1"/>
  <c r="U198" i="1"/>
  <c r="R198" i="1"/>
  <c r="U197" i="1"/>
  <c r="R197" i="1"/>
  <c r="U196" i="1"/>
  <c r="R196" i="1"/>
  <c r="U195" i="1"/>
  <c r="R195" i="1"/>
  <c r="U194" i="1"/>
  <c r="R194" i="1"/>
  <c r="U193" i="1"/>
  <c r="R193" i="1"/>
  <c r="U192" i="1"/>
  <c r="R192" i="1"/>
  <c r="U191" i="1"/>
  <c r="R191" i="1"/>
  <c r="U190" i="1"/>
  <c r="R190" i="1"/>
  <c r="U189" i="1"/>
  <c r="R189" i="1"/>
  <c r="U188" i="1"/>
  <c r="R188" i="1"/>
  <c r="U187" i="1"/>
  <c r="R187" i="1"/>
  <c r="U186" i="1"/>
  <c r="R186" i="1"/>
  <c r="U185" i="1"/>
  <c r="R185" i="1"/>
  <c r="U184" i="1"/>
  <c r="R184" i="1"/>
  <c r="U183" i="1"/>
  <c r="R183" i="1"/>
  <c r="U182" i="1"/>
  <c r="R182" i="1"/>
  <c r="U181" i="1"/>
  <c r="R181" i="1"/>
  <c r="U180" i="1"/>
  <c r="R180" i="1"/>
  <c r="U179" i="1"/>
  <c r="R179" i="1"/>
  <c r="U178" i="1"/>
  <c r="R178" i="1"/>
  <c r="U177" i="1"/>
  <c r="R177" i="1"/>
  <c r="U176" i="1"/>
  <c r="R176" i="1"/>
  <c r="U175" i="1"/>
  <c r="R175" i="1"/>
  <c r="U174" i="1"/>
  <c r="R174" i="1"/>
  <c r="U173" i="1"/>
  <c r="R173" i="1"/>
  <c r="U172" i="1"/>
  <c r="R172" i="1"/>
  <c r="U171" i="1"/>
  <c r="R171" i="1"/>
  <c r="U170" i="1"/>
  <c r="R170" i="1"/>
  <c r="U169" i="1"/>
  <c r="R169" i="1"/>
  <c r="U168" i="1"/>
  <c r="R168" i="1"/>
  <c r="U167" i="1"/>
  <c r="R167" i="1"/>
  <c r="U166" i="1"/>
  <c r="R166" i="1"/>
  <c r="U165" i="1"/>
  <c r="R165" i="1"/>
  <c r="U164" i="1"/>
  <c r="R164" i="1"/>
  <c r="U163" i="1"/>
  <c r="R163" i="1"/>
  <c r="U162" i="1"/>
  <c r="R162" i="1"/>
  <c r="U161" i="1"/>
  <c r="R161" i="1"/>
  <c r="U160" i="1"/>
  <c r="R160" i="1"/>
  <c r="U159" i="1"/>
  <c r="R159" i="1"/>
  <c r="U158" i="1"/>
  <c r="R158" i="1"/>
  <c r="U157" i="1"/>
  <c r="R157" i="1"/>
  <c r="U156" i="1"/>
  <c r="R156" i="1"/>
  <c r="U155" i="1"/>
  <c r="R155" i="1"/>
  <c r="U154" i="1"/>
  <c r="R154" i="1"/>
  <c r="U153" i="1"/>
  <c r="R153" i="1"/>
  <c r="U152" i="1"/>
  <c r="R152" i="1"/>
  <c r="U151" i="1"/>
  <c r="R151" i="1"/>
  <c r="U150" i="1"/>
  <c r="R150" i="1"/>
  <c r="U149" i="1"/>
  <c r="R149" i="1"/>
  <c r="U148" i="1"/>
  <c r="R148" i="1"/>
  <c r="U147" i="1"/>
  <c r="R147" i="1"/>
  <c r="U146" i="1"/>
  <c r="R146" i="1"/>
  <c r="U145" i="1"/>
  <c r="R145" i="1"/>
  <c r="U144" i="1"/>
  <c r="R144" i="1"/>
  <c r="U143" i="1"/>
  <c r="R143" i="1"/>
  <c r="U142" i="1"/>
  <c r="R142" i="1"/>
  <c r="U141" i="1"/>
  <c r="R141" i="1"/>
  <c r="U140" i="1"/>
  <c r="R140" i="1"/>
  <c r="U139" i="1"/>
  <c r="R139" i="1"/>
  <c r="U138" i="1"/>
  <c r="R138" i="1"/>
  <c r="U137" i="1"/>
  <c r="R137" i="1"/>
  <c r="U136" i="1"/>
  <c r="R136" i="1"/>
  <c r="U135" i="1"/>
  <c r="R135" i="1"/>
  <c r="U134" i="1"/>
  <c r="R134" i="1"/>
  <c r="U133" i="1"/>
  <c r="R133" i="1"/>
  <c r="U132" i="1"/>
  <c r="R132" i="1"/>
  <c r="U131" i="1"/>
  <c r="R131" i="1"/>
  <c r="U130" i="1"/>
  <c r="R130" i="1"/>
  <c r="U129" i="1"/>
  <c r="R129" i="1"/>
  <c r="U128" i="1"/>
  <c r="R128" i="1"/>
  <c r="U127" i="1"/>
  <c r="R127" i="1"/>
  <c r="U126" i="1"/>
  <c r="R126" i="1"/>
  <c r="U125" i="1"/>
  <c r="R125" i="1"/>
  <c r="U124" i="1"/>
  <c r="R124" i="1"/>
  <c r="U123" i="1"/>
  <c r="R123" i="1"/>
  <c r="U122" i="1"/>
  <c r="R122" i="1"/>
  <c r="U121" i="1"/>
  <c r="R121" i="1"/>
  <c r="U120" i="1"/>
  <c r="R120" i="1"/>
  <c r="U119" i="1"/>
  <c r="R119" i="1"/>
  <c r="U118" i="1"/>
  <c r="R118" i="1"/>
  <c r="U117" i="1"/>
  <c r="R117" i="1"/>
  <c r="U116" i="1"/>
  <c r="R116" i="1"/>
  <c r="U115" i="1"/>
  <c r="R115" i="1"/>
  <c r="U114" i="1"/>
  <c r="R114" i="1"/>
  <c r="U113" i="1"/>
  <c r="R113" i="1"/>
  <c r="U112" i="1"/>
  <c r="R112" i="1"/>
  <c r="U111" i="1"/>
  <c r="R111" i="1"/>
  <c r="U110" i="1"/>
  <c r="R110" i="1"/>
  <c r="U109" i="1"/>
  <c r="R109" i="1"/>
  <c r="U108" i="1"/>
  <c r="R108" i="1"/>
  <c r="U107" i="1"/>
  <c r="R107" i="1"/>
  <c r="U106" i="1"/>
  <c r="R106" i="1"/>
  <c r="U105" i="1"/>
  <c r="R105" i="1"/>
  <c r="U104" i="1"/>
  <c r="R104" i="1"/>
  <c r="U103" i="1"/>
  <c r="R103" i="1"/>
  <c r="U102" i="1"/>
  <c r="R102" i="1"/>
  <c r="U101" i="1"/>
  <c r="R101" i="1"/>
  <c r="U100" i="1"/>
  <c r="R100" i="1"/>
  <c r="U99" i="1"/>
  <c r="R99" i="1"/>
  <c r="U98" i="1"/>
  <c r="R98" i="1"/>
  <c r="U97" i="1"/>
  <c r="R97" i="1"/>
  <c r="U96" i="1"/>
  <c r="R96" i="1"/>
  <c r="U95" i="1"/>
  <c r="R95" i="1"/>
  <c r="U94" i="1"/>
  <c r="R94" i="1"/>
  <c r="U93" i="1"/>
  <c r="R93" i="1"/>
  <c r="U92" i="1"/>
  <c r="R92" i="1"/>
  <c r="U91" i="1"/>
  <c r="R91" i="1"/>
  <c r="U90" i="1"/>
  <c r="R90" i="1"/>
  <c r="U89" i="1"/>
  <c r="R89" i="1"/>
  <c r="U88" i="1"/>
  <c r="R88" i="1"/>
  <c r="U87" i="1"/>
  <c r="R87" i="1"/>
  <c r="U86" i="1"/>
  <c r="R86" i="1"/>
  <c r="U85" i="1"/>
  <c r="R85" i="1"/>
  <c r="U84" i="1"/>
  <c r="R84" i="1"/>
  <c r="U83" i="1"/>
  <c r="R83" i="1"/>
  <c r="U82" i="1"/>
  <c r="R82" i="1"/>
  <c r="U81" i="1"/>
  <c r="R81" i="1"/>
  <c r="U80" i="1"/>
  <c r="R80" i="1"/>
  <c r="U79" i="1"/>
  <c r="R79" i="1"/>
  <c r="U78" i="1"/>
  <c r="R78" i="1"/>
  <c r="U77" i="1"/>
  <c r="R77" i="1"/>
  <c r="U76" i="1"/>
  <c r="R76" i="1"/>
  <c r="U75" i="1"/>
  <c r="R75" i="1"/>
  <c r="U74" i="1"/>
  <c r="R74" i="1"/>
  <c r="U73" i="1"/>
  <c r="R73" i="1"/>
  <c r="U72" i="1"/>
  <c r="R72" i="1"/>
  <c r="U71" i="1"/>
  <c r="R71" i="1"/>
  <c r="U70" i="1"/>
  <c r="R70" i="1"/>
  <c r="U69" i="1"/>
  <c r="R69" i="1"/>
  <c r="U68" i="1"/>
  <c r="R68" i="1"/>
  <c r="U67" i="1"/>
  <c r="R67" i="1"/>
  <c r="U66" i="1"/>
  <c r="R66" i="1"/>
  <c r="U65" i="1"/>
  <c r="R65" i="1"/>
  <c r="U64" i="1"/>
  <c r="R64" i="1"/>
  <c r="U63" i="1"/>
  <c r="R63" i="1"/>
  <c r="U62" i="1"/>
  <c r="R62" i="1"/>
  <c r="U61" i="1"/>
  <c r="R61" i="1"/>
  <c r="U60" i="1"/>
  <c r="R60" i="1"/>
  <c r="U59" i="1"/>
  <c r="R59" i="1"/>
  <c r="U58" i="1"/>
  <c r="R58" i="1"/>
  <c r="U57" i="1"/>
  <c r="R57" i="1"/>
  <c r="U56" i="1"/>
  <c r="R56" i="1"/>
  <c r="U55" i="1"/>
  <c r="R55" i="1"/>
  <c r="U54" i="1"/>
  <c r="R54" i="1"/>
  <c r="U53" i="1"/>
  <c r="R53" i="1"/>
  <c r="U52" i="1"/>
  <c r="R52" i="1"/>
  <c r="U51" i="1"/>
  <c r="R51" i="1"/>
  <c r="U50" i="1"/>
  <c r="R50" i="1"/>
  <c r="U49" i="1"/>
  <c r="R49" i="1"/>
  <c r="U48" i="1"/>
  <c r="R48" i="1"/>
  <c r="U47" i="1"/>
  <c r="R47" i="1"/>
  <c r="U46" i="1"/>
  <c r="R46" i="1"/>
  <c r="U45" i="1"/>
  <c r="R45" i="1"/>
  <c r="U44" i="1"/>
  <c r="R44" i="1"/>
  <c r="U43" i="1"/>
  <c r="R43" i="1"/>
  <c r="U42" i="1"/>
  <c r="R42" i="1"/>
  <c r="U41" i="1"/>
  <c r="R41" i="1"/>
  <c r="U40" i="1"/>
  <c r="R40" i="1"/>
  <c r="U39" i="1"/>
  <c r="R39" i="1"/>
  <c r="U38" i="1"/>
  <c r="R38" i="1"/>
  <c r="U37" i="1"/>
  <c r="R37" i="1"/>
  <c r="U36" i="1"/>
  <c r="R36" i="1"/>
  <c r="U35" i="1"/>
  <c r="R35" i="1"/>
  <c r="U34" i="1"/>
  <c r="R34" i="1"/>
  <c r="U33" i="1"/>
  <c r="R33" i="1"/>
  <c r="U32" i="1"/>
  <c r="R32" i="1"/>
  <c r="U31" i="1"/>
  <c r="R31" i="1"/>
  <c r="U30" i="1"/>
  <c r="R30" i="1"/>
  <c r="U29" i="1"/>
  <c r="R29" i="1"/>
  <c r="U28" i="1"/>
  <c r="R28" i="1"/>
  <c r="U27" i="1"/>
  <c r="R27" i="1"/>
  <c r="U26" i="1"/>
  <c r="R26" i="1"/>
  <c r="U25" i="1"/>
  <c r="R25" i="1"/>
  <c r="U24" i="1"/>
  <c r="R24" i="1"/>
  <c r="U23" i="1"/>
  <c r="R23" i="1"/>
  <c r="U22" i="1"/>
  <c r="R22" i="1"/>
  <c r="U21" i="1"/>
  <c r="R21" i="1"/>
  <c r="U20" i="1"/>
  <c r="R20" i="1"/>
  <c r="U19" i="1"/>
  <c r="R19" i="1"/>
  <c r="U18" i="1"/>
  <c r="R18" i="1"/>
  <c r="U17" i="1"/>
  <c r="R17" i="1"/>
  <c r="U16" i="1"/>
  <c r="R16" i="1"/>
  <c r="U15" i="1"/>
  <c r="R15" i="1"/>
  <c r="U14" i="1"/>
  <c r="R14" i="1"/>
  <c r="U13" i="1"/>
  <c r="R13" i="1"/>
  <c r="U12" i="1"/>
  <c r="R12" i="1"/>
  <c r="U11" i="1"/>
  <c r="R11" i="1"/>
  <c r="U10" i="1"/>
  <c r="R10" i="1"/>
  <c r="U9" i="1"/>
  <c r="R9" i="1"/>
  <c r="U8" i="1"/>
  <c r="R8" i="1"/>
  <c r="U7" i="1"/>
  <c r="R7" i="1"/>
  <c r="U6" i="1"/>
  <c r="R6" i="1"/>
  <c r="U5" i="1"/>
  <c r="R5" i="1"/>
  <c r="U4" i="1"/>
  <c r="R4" i="1"/>
  <c r="U3" i="1"/>
  <c r="R3" i="1"/>
  <c r="U2" i="1"/>
  <c r="R2" i="1"/>
  <c r="C2" i="2" l="1"/>
</calcChain>
</file>

<file path=xl/sharedStrings.xml><?xml version="1.0" encoding="utf-8"?>
<sst xmlns="http://schemas.openxmlformats.org/spreadsheetml/2006/main" count="4331" uniqueCount="798">
  <si>
    <t>Wine ID</t>
  </si>
  <si>
    <t>Wine Name</t>
  </si>
  <si>
    <t>Producer</t>
  </si>
  <si>
    <t>Country of Origin</t>
  </si>
  <si>
    <t>Region</t>
  </si>
  <si>
    <t>Vintage</t>
  </si>
  <si>
    <t>Wine Style</t>
  </si>
  <si>
    <t>Grape Variety</t>
  </si>
  <si>
    <t>Alcohol %</t>
  </si>
  <si>
    <t>Sweetness</t>
  </si>
  <si>
    <t>Acidity</t>
  </si>
  <si>
    <t>Tannins</t>
  </si>
  <si>
    <t>Body</t>
  </si>
  <si>
    <t>Tasting Notes</t>
  </si>
  <si>
    <t>Food Pairing</t>
  </si>
  <si>
    <t>Retail Price (NZD)</t>
  </si>
  <si>
    <t>Wholesale Cost (NZD)</t>
  </si>
  <si>
    <t>Gross Margin %</t>
  </si>
  <si>
    <t>Stock Quantity</t>
  </si>
  <si>
    <t>Reorder Level</t>
  </si>
  <si>
    <t>Inventory Value (NZD)</t>
  </si>
  <si>
    <t>Availability</t>
  </si>
  <si>
    <t>Supplier</t>
  </si>
  <si>
    <t>Customer Rating / 5</t>
  </si>
  <si>
    <t>Organic</t>
  </si>
  <si>
    <t>Bottle Size (mL)</t>
  </si>
  <si>
    <t>Closure</t>
  </si>
  <si>
    <t>Serving Temperature (°C)</t>
  </si>
  <si>
    <t>Drink From</t>
  </si>
  <si>
    <t>Drink Until</t>
  </si>
  <si>
    <t>W-0001</t>
  </si>
  <si>
    <t>Crimson Cove 001</t>
  </si>
  <si>
    <t>Silver Fern Cellars</t>
  </si>
  <si>
    <t>Veneto</t>
  </si>
  <si>
    <t>Red</t>
  </si>
  <si>
    <t>Sangiovese</t>
  </si>
  <si>
    <t>Dry</t>
  </si>
  <si>
    <t>Low</t>
  </si>
  <si>
    <t>Full</t>
  </si>
  <si>
    <t>black pepper, dark chocolate</t>
  </si>
  <si>
    <t>roast lamb</t>
  </si>
  <si>
    <t>In Stock</t>
  </si>
  <si>
    <t>Estate Direct</t>
  </si>
  <si>
    <t>No</t>
  </si>
  <si>
    <t>Cork</t>
  </si>
  <si>
    <t>W-0002</t>
  </si>
  <si>
    <t>Starlit Passage 002</t>
  </si>
  <si>
    <t>Bellwether Vineyards</t>
  </si>
  <si>
    <t>Alsace</t>
  </si>
  <si>
    <t>Malbec</t>
  </si>
  <si>
    <t>High</t>
  </si>
  <si>
    <t>tobacco, cedar</t>
  </si>
  <si>
    <t>mushroom risotto</t>
  </si>
  <si>
    <t>Southern Wine Supply</t>
  </si>
  <si>
    <t>W-0003</t>
  </si>
  <si>
    <t>Misty Horizon 003</t>
  </si>
  <si>
    <t>Quiet Lantern Estate</t>
  </si>
  <si>
    <t>Alentejo</t>
  </si>
  <si>
    <t>Nebbiolo</t>
  </si>
  <si>
    <t>Medium</t>
  </si>
  <si>
    <t>black pepper, raspberry</t>
  </si>
  <si>
    <t>Synthetic cork</t>
  </si>
  <si>
    <t>W-0004</t>
  </si>
  <si>
    <t>Crescent Terrace 004</t>
  </si>
  <si>
    <t>Sicily</t>
  </si>
  <si>
    <t>Rosé</t>
  </si>
  <si>
    <t>Syrah</t>
  </si>
  <si>
    <t>Light</t>
  </si>
  <si>
    <t>rose petal, strawberry</t>
  </si>
  <si>
    <t>charcuterie</t>
  </si>
  <si>
    <t>Vine Trade NZ</t>
  </si>
  <si>
    <t>Yes</t>
  </si>
  <si>
    <t>W-0005</t>
  </si>
  <si>
    <t>Wild Willow 005</t>
  </si>
  <si>
    <t>Crown &amp; Root Cellars</t>
  </si>
  <si>
    <t>Champagne</t>
  </si>
  <si>
    <t>cedar, plum</t>
  </si>
  <si>
    <t>Backorder</t>
  </si>
  <si>
    <t>W-0006</t>
  </si>
  <si>
    <t>Frosted Summit 006</t>
  </si>
  <si>
    <t>Pinot Noir</t>
  </si>
  <si>
    <t>Off-dry</t>
  </si>
  <si>
    <t>strawberry, rose petal</t>
  </si>
  <si>
    <t>grilled prawns</t>
  </si>
  <si>
    <t>Out of Stock</t>
  </si>
  <si>
    <t>Screw cap</t>
  </si>
  <si>
    <t>W-0007</t>
  </si>
  <si>
    <t>Scarlet Falcon 007</t>
  </si>
  <si>
    <t>White</t>
  </si>
  <si>
    <t>Viognier</t>
  </si>
  <si>
    <t>green apple, lime</t>
  </si>
  <si>
    <t>grilled fish</t>
  </si>
  <si>
    <t>W-0008</t>
  </si>
  <si>
    <t>Sable Dusk 008</t>
  </si>
  <si>
    <t>Copperleaf Collective</t>
  </si>
  <si>
    <t>Mosel</t>
  </si>
  <si>
    <t>Cabernet Sauvignon</t>
  </si>
  <si>
    <t>black cherry, dark chocolate</t>
  </si>
  <si>
    <t>beef short ribs</t>
  </si>
  <si>
    <t>W-0009</t>
  </si>
  <si>
    <t>Golden Thistle 009</t>
  </si>
  <si>
    <t>Margaret River</t>
  </si>
  <si>
    <t>Global Cellars</t>
  </si>
  <si>
    <t>W-0010</t>
  </si>
  <si>
    <t>Sunset Garden 010</t>
  </si>
  <si>
    <t>Priorat</t>
  </si>
  <si>
    <t>dark chocolate, raspberry</t>
  </si>
  <si>
    <t>Heritage Imports</t>
  </si>
  <si>
    <t>W-0011</t>
  </si>
  <si>
    <t>Midnight Lantern 011</t>
  </si>
  <si>
    <t>Stellenbosch</t>
  </si>
  <si>
    <t>Merlot</t>
  </si>
  <si>
    <t>tobacco, plum</t>
  </si>
  <si>
    <t>W-0012</t>
  </si>
  <si>
    <t>Cinder Compass 012</t>
  </si>
  <si>
    <t>Marble Finch Winery</t>
  </si>
  <si>
    <t>Puglia</t>
  </si>
  <si>
    <t>tobacco, black pepper</t>
  </si>
  <si>
    <t>aged cheddar</t>
  </si>
  <si>
    <t>W-0013</t>
  </si>
  <si>
    <t>Silver Ember 013</t>
  </si>
  <si>
    <t>Aster &amp; Oak</t>
  </si>
  <si>
    <t>Maipo Valley</t>
  </si>
  <si>
    <t>Sauvignon Blanc</t>
  </si>
  <si>
    <t>honeysuckle, pear</t>
  </si>
  <si>
    <t>seafood pasta</t>
  </si>
  <si>
    <t>W-0014</t>
  </si>
  <si>
    <t>Blue Harbour 014</t>
  </si>
  <si>
    <t>Coastal Hills</t>
  </si>
  <si>
    <t>black pepper, black cherry</t>
  </si>
  <si>
    <t>W-0015</t>
  </si>
  <si>
    <t>Emerald Meadow 015</t>
  </si>
  <si>
    <t>Hearthstone Vintners</t>
  </si>
  <si>
    <t>Central Valley</t>
  </si>
  <si>
    <t>Dessert</t>
  </si>
  <si>
    <t>Riesling</t>
  </si>
  <si>
    <t>Sweet</t>
  </si>
  <si>
    <t>orange blossom, honey</t>
  </si>
  <si>
    <t>fruit tart</t>
  </si>
  <si>
    <t>W-0016</t>
  </si>
  <si>
    <t>Burnished Stone 016</t>
  </si>
  <si>
    <t>Seven Valleys Cellars</t>
  </si>
  <si>
    <t>Martinborough</t>
  </si>
  <si>
    <t>Muscat</t>
  </si>
  <si>
    <t>apricot, candied peach</t>
  </si>
  <si>
    <t>blue cheese</t>
  </si>
  <si>
    <t>W-0017</t>
  </si>
  <si>
    <t>Wandering Vale 017</t>
  </si>
  <si>
    <t>Northstar Estate</t>
  </si>
  <si>
    <t>Sonoma County</t>
  </si>
  <si>
    <t>NV</t>
  </si>
  <si>
    <t>Sparkling</t>
  </si>
  <si>
    <t>Chardonnay</t>
  </si>
  <si>
    <t>brioche, green apple</t>
  </si>
  <si>
    <t>canapés</t>
  </si>
  <si>
    <t>W-0018</t>
  </si>
  <si>
    <t>Moonlit Ridge 018</t>
  </si>
  <si>
    <t>watermelon, strawberry</t>
  </si>
  <si>
    <t>W-0019</t>
  </si>
  <si>
    <t>Copper Canopy 019</t>
  </si>
  <si>
    <t>Barossa Valley</t>
  </si>
  <si>
    <t>Albariño</t>
  </si>
  <si>
    <t>green apple, white peach</t>
  </si>
  <si>
    <t>W-0020</t>
  </si>
  <si>
    <t>Ivory Lark 020</t>
  </si>
  <si>
    <t>Tuscany</t>
  </si>
  <si>
    <t>raspberry, dark chocolate</t>
  </si>
  <si>
    <t>W-0021</t>
  </si>
  <si>
    <t>Hollow Vine 021</t>
  </si>
  <si>
    <t>Marlborough</t>
  </si>
  <si>
    <t>mineral, pear</t>
  </si>
  <si>
    <t>W-0022</t>
  </si>
  <si>
    <t>Quiet Grove 022</t>
  </si>
  <si>
    <t>W-0023</t>
  </si>
  <si>
    <t>Ancient Bloom 023</t>
  </si>
  <si>
    <t>W-0024</t>
  </si>
  <si>
    <t>Whispering Peak 024</t>
  </si>
  <si>
    <t>Driftwood Ridge</t>
  </si>
  <si>
    <t>lime, white peach</t>
  </si>
  <si>
    <t>W-0025</t>
  </si>
  <si>
    <t>Juniper Orchard 025</t>
  </si>
  <si>
    <t>Pinot Gris</t>
  </si>
  <si>
    <t>lime, mineral</t>
  </si>
  <si>
    <t>W-0026</t>
  </si>
  <si>
    <t>Hidden Chapel 026</t>
  </si>
  <si>
    <t>Finger Lakes</t>
  </si>
  <si>
    <t>W-0027</t>
  </si>
  <si>
    <t>Velvet Bay 027</t>
  </si>
  <si>
    <t>Rhône Valley</t>
  </si>
  <si>
    <t>almond, citrus</t>
  </si>
  <si>
    <t>fried calamari</t>
  </si>
  <si>
    <t>W-0028</t>
  </si>
  <si>
    <t>Autumn River 028</t>
  </si>
  <si>
    <t>Chenin Blanc</t>
  </si>
  <si>
    <t>white peach, lemon zest</t>
  </si>
  <si>
    <t>roast chicken</t>
  </si>
  <si>
    <t>W-0029</t>
  </si>
  <si>
    <t>Solstice Fjord 029</t>
  </si>
  <si>
    <t>honey, apricot</t>
  </si>
  <si>
    <t>W-0030</t>
  </si>
  <si>
    <t>Amber Crest 030</t>
  </si>
  <si>
    <t>goat cheese</t>
  </si>
  <si>
    <t>W-0031</t>
  </si>
  <si>
    <t>Crimson Cove 031</t>
  </si>
  <si>
    <t>Napa Valley</t>
  </si>
  <si>
    <t>dark chocolate, plum</t>
  </si>
  <si>
    <t>W-0032</t>
  </si>
  <si>
    <t>Starlit Passage 032</t>
  </si>
  <si>
    <t>W-0033</t>
  </si>
  <si>
    <t>Misty Horizon 033</t>
  </si>
  <si>
    <t>Rioja</t>
  </si>
  <si>
    <t>Grenache</t>
  </si>
  <si>
    <t>cedar, raspberry</t>
  </si>
  <si>
    <t>W-0034</t>
  </si>
  <si>
    <t>Crescent Terrace 034</t>
  </si>
  <si>
    <t>Mendoza</t>
  </si>
  <si>
    <t>black cherry, raspberry</t>
  </si>
  <si>
    <t>W-0035</t>
  </si>
  <si>
    <t>Wild Willow 035</t>
  </si>
  <si>
    <t>Nelson</t>
  </si>
  <si>
    <t>raspberry, black pepper</t>
  </si>
  <si>
    <t>W-0036</t>
  </si>
  <si>
    <t>Frosted Summit 036</t>
  </si>
  <si>
    <t>raspberry, tobacco</t>
  </si>
  <si>
    <t>W-0037</t>
  </si>
  <si>
    <t>Scarlet Falcon 037</t>
  </si>
  <si>
    <t>W-0038</t>
  </si>
  <si>
    <t>Sable Dusk 038</t>
  </si>
  <si>
    <t>Swartland</t>
  </si>
  <si>
    <t>strawberry, redcurrant</t>
  </si>
  <si>
    <t>summer salads</t>
  </si>
  <si>
    <t>W-0039</t>
  </si>
  <si>
    <t>Golden Thistle 039</t>
  </si>
  <si>
    <t>Hunter Valley</t>
  </si>
  <si>
    <t>mineral, lime</t>
  </si>
  <si>
    <t>W-0040</t>
  </si>
  <si>
    <t>Sunset Garden 040</t>
  </si>
  <si>
    <t>Hawke’s Bay</t>
  </si>
  <si>
    <t>W-0041</t>
  </si>
  <si>
    <t>Midnight Lantern 041</t>
  </si>
  <si>
    <t>W-0042</t>
  </si>
  <si>
    <t>Cinder Compass 042</t>
  </si>
  <si>
    <t>Tempranillo</t>
  </si>
  <si>
    <t>dark chocolate, cedar</t>
  </si>
  <si>
    <t>W-0043</t>
  </si>
  <si>
    <t>Silver Ember 043</t>
  </si>
  <si>
    <t>raspberry, cedar</t>
  </si>
  <si>
    <t>W-0044</t>
  </si>
  <si>
    <t>Blue Harbour 044</t>
  </si>
  <si>
    <t>Douro</t>
  </si>
  <si>
    <t>dark chocolate, black cherry</t>
  </si>
  <si>
    <t>W-0045</t>
  </si>
  <si>
    <t>Emerald Meadow 045</t>
  </si>
  <si>
    <t>lemon zest, mineral</t>
  </si>
  <si>
    <t>W-0046</t>
  </si>
  <si>
    <t>Burnished Stone 046</t>
  </si>
  <si>
    <t>candied peach, orange blossom</t>
  </si>
  <si>
    <t>crème brûlée</t>
  </si>
  <si>
    <t>W-0047</t>
  </si>
  <si>
    <t>Wandering Vale 047</t>
  </si>
  <si>
    <t>Piedmont</t>
  </si>
  <si>
    <t>W-0048</t>
  </si>
  <si>
    <t>Moonlit Ridge 048</t>
  </si>
  <si>
    <t>Colchagua Valley</t>
  </si>
  <si>
    <t>W-0049</t>
  </si>
  <si>
    <t>Copper Canopy 049</t>
  </si>
  <si>
    <t>W-0050</t>
  </si>
  <si>
    <t>Ivory Lark 050</t>
  </si>
  <si>
    <t>Bordeaux</t>
  </si>
  <si>
    <t>strawberry, watermelon</t>
  </si>
  <si>
    <t>W-0051</t>
  </si>
  <si>
    <t>Hollow Vine 051</t>
  </si>
  <si>
    <t>W-0052</t>
  </si>
  <si>
    <t>Quiet Grove 052</t>
  </si>
  <si>
    <t>Loire Valley</t>
  </si>
  <si>
    <t>W-0053</t>
  </si>
  <si>
    <t>Ancient Bloom 053</t>
  </si>
  <si>
    <t>watermelon, redcurrant</t>
  </si>
  <si>
    <t>W-0054</t>
  </si>
  <si>
    <t>Whispering Peak 054</t>
  </si>
  <si>
    <t>W-0055</t>
  </si>
  <si>
    <t>Juniper Orchard 055</t>
  </si>
  <si>
    <t>Thorn &amp; Tide Wines</t>
  </si>
  <si>
    <t>W-0056</t>
  </si>
  <si>
    <t>Hidden Chapel 056</t>
  </si>
  <si>
    <t>Pinot Meunier</t>
  </si>
  <si>
    <t>brioche, almond</t>
  </si>
  <si>
    <t>W-0057</t>
  </si>
  <si>
    <t>Velvet Bay 057</t>
  </si>
  <si>
    <t>Yarra Valley</t>
  </si>
  <si>
    <t>lemon zest, pear</t>
  </si>
  <si>
    <t>W-0058</t>
  </si>
  <si>
    <t>Autumn River 058</t>
  </si>
  <si>
    <t>almond, green apple</t>
  </si>
  <si>
    <t>W-0059</t>
  </si>
  <si>
    <t>Solstice Fjord 059</t>
  </si>
  <si>
    <t>W-0060</t>
  </si>
  <si>
    <t>Amber Crest 060</t>
  </si>
  <si>
    <t>Highland Vineyards</t>
  </si>
  <si>
    <t>honeysuckle, mineral</t>
  </si>
  <si>
    <t>W-0061</t>
  </si>
  <si>
    <t>Crimson Cove 061</t>
  </si>
  <si>
    <t>candied peach, honey</t>
  </si>
  <si>
    <t>W-0062</t>
  </si>
  <si>
    <t>Starlit Passage 062</t>
  </si>
  <si>
    <t>W-0063</t>
  </si>
  <si>
    <t>Misty Horizon 063</t>
  </si>
  <si>
    <t>Ribera del Duero</t>
  </si>
  <si>
    <t>W-0064</t>
  </si>
  <si>
    <t>Crescent Terrace 064</t>
  </si>
  <si>
    <t>mineral, green apple</t>
  </si>
  <si>
    <t>W-0065</t>
  </si>
  <si>
    <t>Wild Willow 065</t>
  </si>
  <si>
    <t>Burgundy</t>
  </si>
  <si>
    <t>green apple, brioche</t>
  </si>
  <si>
    <t>W-0066</t>
  </si>
  <si>
    <t>Frosted Summit 066</t>
  </si>
  <si>
    <t>Salta</t>
  </si>
  <si>
    <t>lemon zest, green apple</t>
  </si>
  <si>
    <t>W-0067</t>
  </si>
  <si>
    <t>Scarlet Falcon 067</t>
  </si>
  <si>
    <t>black cherry, tobacco</t>
  </si>
  <si>
    <t>W-0068</t>
  </si>
  <si>
    <t>Sable Dusk 068</t>
  </si>
  <si>
    <t>white peach, lime</t>
  </si>
  <si>
    <t>W-0069</t>
  </si>
  <si>
    <t>Golden Thistle 069</t>
  </si>
  <si>
    <t>almond, brioche</t>
  </si>
  <si>
    <t>W-0070</t>
  </si>
  <si>
    <t>Sunset Garden 070</t>
  </si>
  <si>
    <t>redcurrant, strawberry</t>
  </si>
  <si>
    <t>W-0071</t>
  </si>
  <si>
    <t>Midnight Lantern 071</t>
  </si>
  <si>
    <t>lemon zest, honeysuckle</t>
  </si>
  <si>
    <t>W-0072</t>
  </si>
  <si>
    <t>Cinder Compass 072</t>
  </si>
  <si>
    <t>cedar, dark chocolate</t>
  </si>
  <si>
    <t>W-0073</t>
  </si>
  <si>
    <t>Silver Ember 073</t>
  </si>
  <si>
    <t>W-0074</t>
  </si>
  <si>
    <t>Blue Harbour 074</t>
  </si>
  <si>
    <t>tobacco, dark chocolate</t>
  </si>
  <si>
    <t>W-0075</t>
  </si>
  <si>
    <t>Emerald Meadow 075</t>
  </si>
  <si>
    <t>W-0076</t>
  </si>
  <si>
    <t>Burnished Stone 076</t>
  </si>
  <si>
    <t>lemon zest, lime</t>
  </si>
  <si>
    <t>W-0077</t>
  </si>
  <si>
    <t>Wandering Vale 077</t>
  </si>
  <si>
    <t>dark chocolate, tobacco</t>
  </si>
  <si>
    <t>W-0078</t>
  </si>
  <si>
    <t>Moonlit Ridge 078</t>
  </si>
  <si>
    <t>W-0079</t>
  </si>
  <si>
    <t>Copper Canopy 079</t>
  </si>
  <si>
    <t>W-0080</t>
  </si>
  <si>
    <t>Ivory Lark 080</t>
  </si>
  <si>
    <t>oysters</t>
  </si>
  <si>
    <t>W-0081</t>
  </si>
  <si>
    <t>Hollow Vine 081</t>
  </si>
  <si>
    <t>W-0082</t>
  </si>
  <si>
    <t>Quiet Grove 082</t>
  </si>
  <si>
    <t>Willamette Valley</t>
  </si>
  <si>
    <t>rose petal, watermelon</t>
  </si>
  <si>
    <t>W-0083</t>
  </si>
  <si>
    <t>Ancient Bloom 083</t>
  </si>
  <si>
    <t>W-0084</t>
  </si>
  <si>
    <t>Whispering Peak 084</t>
  </si>
  <si>
    <t>W-0085</t>
  </si>
  <si>
    <t>Juniper Orchard 085</t>
  </si>
  <si>
    <t>black pepper, tobacco</t>
  </si>
  <si>
    <t>W-0086</t>
  </si>
  <si>
    <t>Hidden Chapel 086</t>
  </si>
  <si>
    <t>black cherry, cedar</t>
  </si>
  <si>
    <t>W-0087</t>
  </si>
  <si>
    <t>Velvet Bay 087</t>
  </si>
  <si>
    <t>W-0088</t>
  </si>
  <si>
    <t>Autumn River 088</t>
  </si>
  <si>
    <t>W-0089</t>
  </si>
  <si>
    <t>Solstice Fjord 089</t>
  </si>
  <si>
    <t>W-0090</t>
  </si>
  <si>
    <t>Amber Crest 090</t>
  </si>
  <si>
    <t>lime, lemon zest</t>
  </si>
  <si>
    <t>W-0091</t>
  </si>
  <si>
    <t>Crimson Cove 091</t>
  </si>
  <si>
    <t>black cherry, plum</t>
  </si>
  <si>
    <t>W-0092</t>
  </si>
  <si>
    <t>Starlit Passage 092</t>
  </si>
  <si>
    <t>pear, lime</t>
  </si>
  <si>
    <t>W-0093</t>
  </si>
  <si>
    <t>Misty Horizon 093</t>
  </si>
  <si>
    <t>pear, green apple</t>
  </si>
  <si>
    <t>W-0094</t>
  </si>
  <si>
    <t>Crescent Terrace 094</t>
  </si>
  <si>
    <t>redcurrant, watermelon</t>
  </si>
  <si>
    <t>W-0095</t>
  </si>
  <si>
    <t>Wild Willow 095</t>
  </si>
  <si>
    <t>citrus, almond</t>
  </si>
  <si>
    <t>W-0096</t>
  </si>
  <si>
    <t>Frosted Summit 096</t>
  </si>
  <si>
    <t>W-0097</t>
  </si>
  <si>
    <t>Scarlet Falcon 097</t>
  </si>
  <si>
    <t>W-0098</t>
  </si>
  <si>
    <t>Sable Dusk 098</t>
  </si>
  <si>
    <t>apricot, honey</t>
  </si>
  <si>
    <t>W-0099</t>
  </si>
  <si>
    <t>Golden Thistle 099</t>
  </si>
  <si>
    <t>Rías Baixas</t>
  </si>
  <si>
    <t>W-0100</t>
  </si>
  <si>
    <t>Sunset Garden 100</t>
  </si>
  <si>
    <t>W-0101</t>
  </si>
  <si>
    <t>Midnight Lantern 101</t>
  </si>
  <si>
    <t>W-0102</t>
  </si>
  <si>
    <t>Cinder Compass 102</t>
  </si>
  <si>
    <t>W-0103</t>
  </si>
  <si>
    <t>Silver Ember 103</t>
  </si>
  <si>
    <t>W-0104</t>
  </si>
  <si>
    <t>Blue Harbour 104</t>
  </si>
  <si>
    <t>W-0105</t>
  </si>
  <si>
    <t>Emerald Meadow 105</t>
  </si>
  <si>
    <t>green apple, lemon zest</t>
  </si>
  <si>
    <t>W-0106</t>
  </si>
  <si>
    <t>Burnished Stone 106</t>
  </si>
  <si>
    <t>white peach, mineral</t>
  </si>
  <si>
    <t>W-0107</t>
  </si>
  <si>
    <t>Wandering Vale 107</t>
  </si>
  <si>
    <t>W-0108</t>
  </si>
  <si>
    <t>Moonlit Ridge 108</t>
  </si>
  <si>
    <t>W-0109</t>
  </si>
  <si>
    <t>Copper Canopy 109</t>
  </si>
  <si>
    <t>raspberry, plum</t>
  </si>
  <si>
    <t>W-0110</t>
  </si>
  <si>
    <t>Ivory Lark 110</t>
  </si>
  <si>
    <t>honeysuckle, lemon zest</t>
  </si>
  <si>
    <t>W-0111</t>
  </si>
  <si>
    <t>Hollow Vine 111</t>
  </si>
  <si>
    <t>W-0112</t>
  </si>
  <si>
    <t>Quiet Grove 112</t>
  </si>
  <si>
    <t>W-0113</t>
  </si>
  <si>
    <t>Ancient Bloom 113</t>
  </si>
  <si>
    <t>W-0114</t>
  </si>
  <si>
    <t>Whispering Peak 114</t>
  </si>
  <si>
    <t>W-0115</t>
  </si>
  <si>
    <t>Juniper Orchard 115</t>
  </si>
  <si>
    <t>W-0116</t>
  </si>
  <si>
    <t>Hidden Chapel 116</t>
  </si>
  <si>
    <t>plum, black cherry</t>
  </si>
  <si>
    <t>W-0117</t>
  </si>
  <si>
    <t>Velvet Bay 117</t>
  </si>
  <si>
    <t>mineral, white peach</t>
  </si>
  <si>
    <t>W-0118</t>
  </si>
  <si>
    <t>Autumn River 118</t>
  </si>
  <si>
    <t>W-0119</t>
  </si>
  <si>
    <t>Solstice Fjord 119</t>
  </si>
  <si>
    <t>plum, cedar</t>
  </si>
  <si>
    <t>W-0120</t>
  </si>
  <si>
    <t>Amber Crest 120</t>
  </si>
  <si>
    <t>cedar, tobacco</t>
  </si>
  <si>
    <t>W-0121</t>
  </si>
  <si>
    <t>Crimson Cove 121</t>
  </si>
  <si>
    <t>W-0122</t>
  </si>
  <si>
    <t>Starlit Passage 122</t>
  </si>
  <si>
    <t>W-0123</t>
  </si>
  <si>
    <t>Misty Horizon 123</t>
  </si>
  <si>
    <t>lemon zest, white peach</t>
  </si>
  <si>
    <t>W-0124</t>
  </si>
  <si>
    <t>Crescent Terrace 124</t>
  </si>
  <si>
    <t>W-0125</t>
  </si>
  <si>
    <t>Wild Willow 125</t>
  </si>
  <si>
    <t>W-0126</t>
  </si>
  <si>
    <t>Frosted Summit 126</t>
  </si>
  <si>
    <t>W-0127</t>
  </si>
  <si>
    <t>Scarlet Falcon 127</t>
  </si>
  <si>
    <t>W-0128</t>
  </si>
  <si>
    <t>Sable Dusk 128</t>
  </si>
  <si>
    <t>plum, raspberry</t>
  </si>
  <si>
    <t>W-0129</t>
  </si>
  <si>
    <t>Golden Thistle 129</t>
  </si>
  <si>
    <t>W-0130</t>
  </si>
  <si>
    <t>Sunset Garden 130</t>
  </si>
  <si>
    <t>W-0131</t>
  </si>
  <si>
    <t>Midnight Lantern 131</t>
  </si>
  <si>
    <t>pear, white peach</t>
  </si>
  <si>
    <t>W-0132</t>
  </si>
  <si>
    <t>Cinder Compass 132</t>
  </si>
  <si>
    <t>white peach, pear</t>
  </si>
  <si>
    <t>W-0133</t>
  </si>
  <si>
    <t>Silver Ember 133</t>
  </si>
  <si>
    <t>cedar, black pepper</t>
  </si>
  <si>
    <t>W-0134</t>
  </si>
  <si>
    <t>Blue Harbour 134</t>
  </si>
  <si>
    <t>W-0135</t>
  </si>
  <si>
    <t>Emerald Meadow 135</t>
  </si>
  <si>
    <t>mineral, lemon zest</t>
  </si>
  <si>
    <t>W-0136</t>
  </si>
  <si>
    <t>Burnished Stone 136</t>
  </si>
  <si>
    <t>W-0137</t>
  </si>
  <si>
    <t>Wandering Vale 137</t>
  </si>
  <si>
    <t>W-0138</t>
  </si>
  <si>
    <t>Moonlit Ridge 138</t>
  </si>
  <si>
    <t>green apple, citrus</t>
  </si>
  <si>
    <t>W-0139</t>
  </si>
  <si>
    <t>Copper Canopy 139</t>
  </si>
  <si>
    <t>W-0140</t>
  </si>
  <si>
    <t>Ivory Lark 140</t>
  </si>
  <si>
    <t>W-0141</t>
  </si>
  <si>
    <t>Hollow Vine 141</t>
  </si>
  <si>
    <t>citrus, green apple</t>
  </si>
  <si>
    <t>W-0142</t>
  </si>
  <si>
    <t>Quiet Grove 142</t>
  </si>
  <si>
    <t>W-0143</t>
  </si>
  <si>
    <t>Ancient Bloom 143</t>
  </si>
  <si>
    <t>W-0144</t>
  </si>
  <si>
    <t>Whispering Peak 144</t>
  </si>
  <si>
    <t>W-0145</t>
  </si>
  <si>
    <t>Juniper Orchard 145</t>
  </si>
  <si>
    <t>W-0146</t>
  </si>
  <si>
    <t>Hidden Chapel 146</t>
  </si>
  <si>
    <t>plum, dark chocolate</t>
  </si>
  <si>
    <t>W-0147</t>
  </si>
  <si>
    <t>Velvet Bay 147</t>
  </si>
  <si>
    <t>W-0148</t>
  </si>
  <si>
    <t>Autumn River 148</t>
  </si>
  <si>
    <t>green apple, almond</t>
  </si>
  <si>
    <t>W-0149</t>
  </si>
  <si>
    <t>Solstice Fjord 149</t>
  </si>
  <si>
    <t>W-0150</t>
  </si>
  <si>
    <t>Amber Crest 150</t>
  </si>
  <si>
    <t>W-0151</t>
  </si>
  <si>
    <t>Crimson Cove 151</t>
  </si>
  <si>
    <t>plum, tobacco</t>
  </si>
  <si>
    <t>W-0152</t>
  </si>
  <si>
    <t>Starlit Passage 152</t>
  </si>
  <si>
    <t>lime, green apple</t>
  </si>
  <si>
    <t>W-0153</t>
  </si>
  <si>
    <t>Misty Horizon 153</t>
  </si>
  <si>
    <t>W-0154</t>
  </si>
  <si>
    <t>Crescent Terrace 154</t>
  </si>
  <si>
    <t>redcurrant, rose petal</t>
  </si>
  <si>
    <t>W-0155</t>
  </si>
  <si>
    <t>Wild Willow 155</t>
  </si>
  <si>
    <t>W-0156</t>
  </si>
  <si>
    <t>Frosted Summit 156</t>
  </si>
  <si>
    <t>green apple, mineral</t>
  </si>
  <si>
    <t>W-0157</t>
  </si>
  <si>
    <t>Scarlet Falcon 157</t>
  </si>
  <si>
    <t>plum, black pepper</t>
  </si>
  <si>
    <t>W-0158</t>
  </si>
  <si>
    <t>Sable Dusk 158</t>
  </si>
  <si>
    <t>W-0159</t>
  </si>
  <si>
    <t>Golden Thistle 159</t>
  </si>
  <si>
    <t>honeysuckle, lime</t>
  </si>
  <si>
    <t>W-0160</t>
  </si>
  <si>
    <t>Sunset Garden 160</t>
  </si>
  <si>
    <t>white peach, honeysuckle</t>
  </si>
  <si>
    <t>W-0161</t>
  </si>
  <si>
    <t>Midnight Lantern 161</t>
  </si>
  <si>
    <t>W-0162</t>
  </si>
  <si>
    <t>Cinder Compass 162</t>
  </si>
  <si>
    <t>W-0163</t>
  </si>
  <si>
    <t>Silver Ember 163</t>
  </si>
  <si>
    <t>pear, honeysuckle</t>
  </si>
  <si>
    <t>W-0164</t>
  </si>
  <si>
    <t>Blue Harbour 164</t>
  </si>
  <si>
    <t>rose petal, redcurrant</t>
  </si>
  <si>
    <t>W-0165</t>
  </si>
  <si>
    <t>Emerald Meadow 165</t>
  </si>
  <si>
    <t>green apple, honeysuckle</t>
  </si>
  <si>
    <t>W-0166</t>
  </si>
  <si>
    <t>Burnished Stone 166</t>
  </si>
  <si>
    <t>W-0167</t>
  </si>
  <si>
    <t>Wandering Vale 167</t>
  </si>
  <si>
    <t>pear, lemon zest</t>
  </si>
  <si>
    <t>W-0168</t>
  </si>
  <si>
    <t>Moonlit Ridge 168</t>
  </si>
  <si>
    <t>W-0169</t>
  </si>
  <si>
    <t>Copper Canopy 169</t>
  </si>
  <si>
    <t>W-0170</t>
  </si>
  <si>
    <t>Ivory Lark 170</t>
  </si>
  <si>
    <t>W-0171</t>
  </si>
  <si>
    <t>Hollow Vine 171</t>
  </si>
  <si>
    <t>W-0172</t>
  </si>
  <si>
    <t>Quiet Grove 172</t>
  </si>
  <si>
    <t>W-0173</t>
  </si>
  <si>
    <t>Ancient Bloom 173</t>
  </si>
  <si>
    <t>W-0174</t>
  </si>
  <si>
    <t>Whispering Peak 174</t>
  </si>
  <si>
    <t>W-0175</t>
  </si>
  <si>
    <t>Juniper Orchard 175</t>
  </si>
  <si>
    <t>tobacco, raspberry</t>
  </si>
  <si>
    <t>W-0176</t>
  </si>
  <si>
    <t>Hidden Chapel 176</t>
  </si>
  <si>
    <t>W-0177</t>
  </si>
  <si>
    <t>Velvet Bay 177</t>
  </si>
  <si>
    <t>mineral, honeysuckle</t>
  </si>
  <si>
    <t>W-0178</t>
  </si>
  <si>
    <t>Autumn River 178</t>
  </si>
  <si>
    <t>W-0179</t>
  </si>
  <si>
    <t>Solstice Fjord 179</t>
  </si>
  <si>
    <t>W-0180</t>
  </si>
  <si>
    <t>Amber Crest 180</t>
  </si>
  <si>
    <t>W-0181</t>
  </si>
  <si>
    <t>Crimson Cove 181</t>
  </si>
  <si>
    <t>white peach, green apple</t>
  </si>
  <si>
    <t>W-0182</t>
  </si>
  <si>
    <t>Starlit Passage 182</t>
  </si>
  <si>
    <t>W-0183</t>
  </si>
  <si>
    <t>Misty Horizon 183</t>
  </si>
  <si>
    <t>W-0184</t>
  </si>
  <si>
    <t>Crescent Terrace 184</t>
  </si>
  <si>
    <t>W-0185</t>
  </si>
  <si>
    <t>Wild Willow 185</t>
  </si>
  <si>
    <t>W-0186</t>
  </si>
  <si>
    <t>Frosted Summit 186</t>
  </si>
  <si>
    <t>W-0187</t>
  </si>
  <si>
    <t>Scarlet Falcon 187</t>
  </si>
  <si>
    <t>W-0188</t>
  </si>
  <si>
    <t>Sable Dusk 188</t>
  </si>
  <si>
    <t>W-0189</t>
  </si>
  <si>
    <t>Golden Thistle 189</t>
  </si>
  <si>
    <t>orange blossom, candied peach</t>
  </si>
  <si>
    <t>W-0190</t>
  </si>
  <si>
    <t>Sunset Garden 190</t>
  </si>
  <si>
    <t>W-0191</t>
  </si>
  <si>
    <t>Midnight Lantern 191</t>
  </si>
  <si>
    <t>W-0192</t>
  </si>
  <si>
    <t>Cinder Compass 192</t>
  </si>
  <si>
    <t>W-0193</t>
  </si>
  <si>
    <t>Silver Ember 193</t>
  </si>
  <si>
    <t>W-0194</t>
  </si>
  <si>
    <t>Blue Harbour 194</t>
  </si>
  <si>
    <t>W-0195</t>
  </si>
  <si>
    <t>Emerald Meadow 195</t>
  </si>
  <si>
    <t>raspberry, black cherry</t>
  </si>
  <si>
    <t>W-0196</t>
  </si>
  <si>
    <t>Burnished Stone 196</t>
  </si>
  <si>
    <t>W-0197</t>
  </si>
  <si>
    <t>Wandering Vale 197</t>
  </si>
  <si>
    <t>W-0198</t>
  </si>
  <si>
    <t>Moonlit Ridge 198</t>
  </si>
  <si>
    <t>W-0199</t>
  </si>
  <si>
    <t>Copper Canopy 199</t>
  </si>
  <si>
    <t>W-0200</t>
  </si>
  <si>
    <t>Ivory Lark 200</t>
  </si>
  <si>
    <t>W-0201</t>
  </si>
  <si>
    <t>Hollow Vine 201</t>
  </si>
  <si>
    <t>W-0202</t>
  </si>
  <si>
    <t>Quiet Grove 202</t>
  </si>
  <si>
    <t>Central Otago</t>
  </si>
  <si>
    <t>black pepper, plum</t>
  </si>
  <si>
    <t>W-0203</t>
  </si>
  <si>
    <t>Ancient Bloom 203</t>
  </si>
  <si>
    <t>W-0204</t>
  </si>
  <si>
    <t>Whispering Peak 204</t>
  </si>
  <si>
    <t>W-0205</t>
  </si>
  <si>
    <t>Juniper Orchard 205</t>
  </si>
  <si>
    <t>W-0206</t>
  </si>
  <si>
    <t>Hidden Chapel 206</t>
  </si>
  <si>
    <t>tobacco, black cherry</t>
  </si>
  <si>
    <t>W-0207</t>
  </si>
  <si>
    <t>Velvet Bay 207</t>
  </si>
  <si>
    <t>W-0208</t>
  </si>
  <si>
    <t>Autumn River 208</t>
  </si>
  <si>
    <t>W-0209</t>
  </si>
  <si>
    <t>Solstice Fjord 209</t>
  </si>
  <si>
    <t>W-0210</t>
  </si>
  <si>
    <t>Amber Crest 210</t>
  </si>
  <si>
    <t>W-0211</t>
  </si>
  <si>
    <t>Crimson Cove 211</t>
  </si>
  <si>
    <t>black pepper, cedar</t>
  </si>
  <si>
    <t>W-0212</t>
  </si>
  <si>
    <t>Starlit Passage 212</t>
  </si>
  <si>
    <t>W-0213</t>
  </si>
  <si>
    <t>Misty Horizon 213</t>
  </si>
  <si>
    <t>Sémillon</t>
  </si>
  <si>
    <t>W-0214</t>
  </si>
  <si>
    <t>Crescent Terrace 214</t>
  </si>
  <si>
    <t>W-0215</t>
  </si>
  <si>
    <t>Wild Willow 215</t>
  </si>
  <si>
    <t>lime, honeysuckle</t>
  </si>
  <si>
    <t>W-0216</t>
  </si>
  <si>
    <t>Frosted Summit 216</t>
  </si>
  <si>
    <t>W-0217</t>
  </si>
  <si>
    <t>Scarlet Falcon 217</t>
  </si>
  <si>
    <t>W-0218</t>
  </si>
  <si>
    <t>Sable Dusk 218</t>
  </si>
  <si>
    <t>W-0219</t>
  </si>
  <si>
    <t>Golden Thistle 219</t>
  </si>
  <si>
    <t>W-0220</t>
  </si>
  <si>
    <t>Sunset Garden 220</t>
  </si>
  <si>
    <t>W-0221</t>
  </si>
  <si>
    <t>Midnight Lantern 221</t>
  </si>
  <si>
    <t>W-0222</t>
  </si>
  <si>
    <t>Cinder Compass 222</t>
  </si>
  <si>
    <t>W-0223</t>
  </si>
  <si>
    <t>Silver Ember 223</t>
  </si>
  <si>
    <t>W-0224</t>
  </si>
  <si>
    <t>Blue Harbour 224</t>
  </si>
  <si>
    <t>W-0225</t>
  </si>
  <si>
    <t>Emerald Meadow 225</t>
  </si>
  <si>
    <t>honeysuckle, green apple</t>
  </si>
  <si>
    <t>W-0226</t>
  </si>
  <si>
    <t>Burnished Stone 226</t>
  </si>
  <si>
    <t>W-0227</t>
  </si>
  <si>
    <t>Wandering Vale 227</t>
  </si>
  <si>
    <t>W-0228</t>
  </si>
  <si>
    <t>Moonlit Ridge 228</t>
  </si>
  <si>
    <t>W-0229</t>
  </si>
  <si>
    <t>Copper Canopy 229</t>
  </si>
  <si>
    <t>W-0230</t>
  </si>
  <si>
    <t>Ivory Lark 230</t>
  </si>
  <si>
    <t>W-0231</t>
  </si>
  <si>
    <t>Hollow Vine 231</t>
  </si>
  <si>
    <t>W-0232</t>
  </si>
  <si>
    <t>Quiet Grove 232</t>
  </si>
  <si>
    <t>W-0233</t>
  </si>
  <si>
    <t>Ancient Bloom 233</t>
  </si>
  <si>
    <t>W-0234</t>
  </si>
  <si>
    <t>Whispering Peak 234</t>
  </si>
  <si>
    <t>W-0235</t>
  </si>
  <si>
    <t>Juniper Orchard 235</t>
  </si>
  <si>
    <t>W-0236</t>
  </si>
  <si>
    <t>Hidden Chapel 236</t>
  </si>
  <si>
    <t>W-0237</t>
  </si>
  <si>
    <t>Velvet Bay 237</t>
  </si>
  <si>
    <t>W-0238</t>
  </si>
  <si>
    <t>Autumn River 238</t>
  </si>
  <si>
    <t>W-0239</t>
  </si>
  <si>
    <t>Solstice Fjord 239</t>
  </si>
  <si>
    <t>W-0240</t>
  </si>
  <si>
    <t>Amber Crest 240</t>
  </si>
  <si>
    <t>W-0241</t>
  </si>
  <si>
    <t>Crimson Cove 241</t>
  </si>
  <si>
    <t>W-0242</t>
  </si>
  <si>
    <t>Starlit Passage 242</t>
  </si>
  <si>
    <t>W-0243</t>
  </si>
  <si>
    <t>Misty Horizon 243</t>
  </si>
  <si>
    <t>W-0244</t>
  </si>
  <si>
    <t>Crescent Terrace 244</t>
  </si>
  <si>
    <t>W-0245</t>
  </si>
  <si>
    <t>Wild Willow 245</t>
  </si>
  <si>
    <t>W-0246</t>
  </si>
  <si>
    <t>Frosted Summit 246</t>
  </si>
  <si>
    <t>W-0247</t>
  </si>
  <si>
    <t>Scarlet Falcon 247</t>
  </si>
  <si>
    <t>W-0248</t>
  </si>
  <si>
    <t>Sable Dusk 248</t>
  </si>
  <si>
    <t>W-0249</t>
  </si>
  <si>
    <t>Golden Thistle 249</t>
  </si>
  <si>
    <t>W-0250</t>
  </si>
  <si>
    <t>Sunset Garden 250</t>
  </si>
  <si>
    <t>Number of Wines</t>
  </si>
  <si>
    <t>Share of Inventory</t>
  </si>
  <si>
    <t>China</t>
  </si>
  <si>
    <t>South Korea</t>
  </si>
  <si>
    <t>Montenegro</t>
  </si>
  <si>
    <t>Jordan</t>
  </si>
  <si>
    <t>Armenia</t>
  </si>
  <si>
    <t>Uganda</t>
  </si>
  <si>
    <t>Ecuador</t>
  </si>
  <si>
    <t>Moldova</t>
  </si>
  <si>
    <t>Hungary</t>
  </si>
  <si>
    <t>Japan</t>
  </si>
  <si>
    <t>Philippines</t>
  </si>
  <si>
    <t>Ethiopia</t>
  </si>
  <si>
    <t>Thailand</t>
  </si>
  <si>
    <t>Colombia</t>
  </si>
  <si>
    <t>Mauritius</t>
  </si>
  <si>
    <t>Serbia</t>
  </si>
  <si>
    <t>Croatia</t>
  </si>
  <si>
    <t>Lebanon</t>
  </si>
  <si>
    <t>Botswana</t>
  </si>
  <si>
    <t>Romania</t>
  </si>
  <si>
    <t>Cyprus</t>
  </si>
  <si>
    <t>Greece</t>
  </si>
  <si>
    <t>Morocco</t>
  </si>
  <si>
    <t>Egypt</t>
  </si>
  <si>
    <t>Slovakia</t>
  </si>
  <si>
    <t>Slovenia</t>
  </si>
  <si>
    <t>Uruguay</t>
  </si>
  <si>
    <t>Namibia</t>
  </si>
  <si>
    <t>North Macedonia</t>
  </si>
  <si>
    <t>Peru</t>
  </si>
  <si>
    <t>Georgia</t>
  </si>
  <si>
    <t>Tanzania</t>
  </si>
  <si>
    <t>Zimbabwe</t>
  </si>
  <si>
    <t>Madagascar</t>
  </si>
  <si>
    <t>Tunisia</t>
  </si>
  <si>
    <t>Indonesia</t>
  </si>
  <si>
    <t>Kenya</t>
  </si>
  <si>
    <t>Algeria</t>
  </si>
  <si>
    <t>Turkey</t>
  </si>
  <si>
    <t>Vietnam</t>
  </si>
  <si>
    <t>Israel</t>
  </si>
  <si>
    <t>India</t>
  </si>
  <si>
    <t>Bolivia</t>
  </si>
  <si>
    <t>Bulgaria</t>
  </si>
  <si>
    <t>Albania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</si>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</sst>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3">
    <font>
      <sz val="11"/>
      <name val="Carlito"/>
    </font>
    <font>
      <b/>
      <sz val="11"/>
      <color rgb="FFF7E8BA"/>
      <name val="Carlito"/>
    </font>
    <font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5332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2" fillId="0" borderId="0" xfId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ineInventoryTable" displayName="WineInventoryTable" ref="A1:AD257" totalsRowShown="0">
  <tableColumns count="30">
    <tableColumn id="1" xr3:uid="{00000000-0010-0000-0000-000001000000}" name="Wine ID"/>
    <tableColumn id="2" xr3:uid="{00000000-0010-0000-0000-000002000000}" name="Wine Name"/>
    <tableColumn id="3" xr3:uid="{00000000-0010-0000-0000-000003000000}" name="Producer"/>
    <tableColumn id="4" xr3:uid="{00000000-0010-0000-0000-000004000000}" name="Country of Origin"/>
    <tableColumn id="5" xr3:uid="{00000000-0010-0000-0000-000005000000}" name="Region"/>
    <tableColumn id="6" xr3:uid="{00000000-0010-0000-0000-000006000000}" name="Vintage"/>
    <tableColumn id="7" xr3:uid="{00000000-0010-0000-0000-000007000000}" name="Wine Style"/>
    <tableColumn id="8" xr3:uid="{00000000-0010-0000-0000-000008000000}" name="Grape Variety"/>
    <tableColumn id="9" xr3:uid="{00000000-0010-0000-0000-000009000000}" name="Alcohol %"/>
    <tableColumn id="10" xr3:uid="{00000000-0010-0000-0000-00000A000000}" name="Sweetness"/>
    <tableColumn id="11" xr3:uid="{00000000-0010-0000-0000-00000B000000}" name="Acidity"/>
    <tableColumn id="12" xr3:uid="{00000000-0010-0000-0000-00000C000000}" name="Tannins"/>
    <tableColumn id="13" xr3:uid="{00000000-0010-0000-0000-00000D000000}" name="Body"/>
    <tableColumn id="14" xr3:uid="{00000000-0010-0000-0000-00000E000000}" name="Tasting Notes"/>
    <tableColumn id="15" xr3:uid="{00000000-0010-0000-0000-00000F000000}" name="Food Pairing"/>
    <tableColumn id="16" xr3:uid="{00000000-0010-0000-0000-000010000000}" name="Retail Price (NZD)"/>
    <tableColumn id="17" xr3:uid="{00000000-0010-0000-0000-000011000000}" name="Wholesale Cost (NZD)"/>
    <tableColumn id="18" xr3:uid="{00000000-0010-0000-0000-000012000000}" name="Gross Margin %"/>
    <tableColumn id="19" xr3:uid="{00000000-0010-0000-0000-000013000000}" name="Stock Quantity"/>
    <tableColumn id="20" xr3:uid="{00000000-0010-0000-0000-000014000000}" name="Reorder Level"/>
    <tableColumn id="21" xr3:uid="{00000000-0010-0000-0000-000015000000}" name="Inventory Value (NZD)"/>
    <tableColumn id="22" xr3:uid="{00000000-0010-0000-0000-000016000000}" name="Availability"/>
    <tableColumn id="23" xr3:uid="{00000000-0010-0000-0000-000017000000}" name="Supplier"/>
    <tableColumn id="24" xr3:uid="{00000000-0010-0000-0000-000018000000}" name="Customer Rating / 5"/>
    <tableColumn id="25" xr3:uid="{00000000-0010-0000-0000-000019000000}" name="Organic"/>
    <tableColumn id="26" xr3:uid="{00000000-0010-0000-0000-00001A000000}" name="Bottle Size (mL)"/>
    <tableColumn id="27" xr3:uid="{00000000-0010-0000-0000-00001B000000}" name="Closure"/>
    <tableColumn id="28" xr3:uid="{00000000-0010-0000-0000-00001C000000}" name="Serving Temperature (°C)"/>
    <tableColumn id="29" xr3:uid="{00000000-0010-0000-0000-00001D000000}" name="Drink From"/>
    <tableColumn id="30" xr3:uid="{00000000-0010-0000-0000-00001E000000}" name="Drink Unt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ntryCountsTable" displayName="CountryCountsTable" ref="A1:C25" totalsRowShown="0">
  <tableColumns count="3">
    <tableColumn id="1" xr3:uid="{00000000-0010-0000-0100-000001000000}" name="Country of Origin"/>
    <tableColumn id="2" xr3:uid="{00000000-0010-0000-0100-000002000000}" name="Number of Wines"/>
    <tableColumn id="3" xr3:uid="{00000000-0010-0000-0100-000003000000}" name="Share of Invent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2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13" customWidth="1"/>
    <col min="2" max="2" width="27" customWidth="1"/>
    <col min="3" max="5" width="22" customWidth="1"/>
    <col min="6" max="13" width="16" customWidth="1"/>
    <col min="14" max="15" width="29" customWidth="1"/>
    <col min="16" max="30" width="19" customWidth="1"/>
  </cols>
  <sheetData>
    <row r="1" spans="1:30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 t="s">
        <v>31</v>
      </c>
      <c r="C2" t="s">
        <v>32</v>
      </c>
      <c r="D2" t="s">
        <v>752</v>
      </c>
      <c r="E2" t="s">
        <v>33</v>
      </c>
      <c r="F2">
        <v>2001</v>
      </c>
      <c r="G2" t="s">
        <v>34</v>
      </c>
      <c r="H2" t="s">
        <v>35</v>
      </c>
      <c r="I2">
        <v>10.5</v>
      </c>
      <c r="J2" t="s">
        <v>36</v>
      </c>
      <c r="K2" t="s">
        <v>37</v>
      </c>
      <c r="L2" t="s">
        <v>37</v>
      </c>
      <c r="M2" t="s">
        <v>38</v>
      </c>
      <c r="N2" t="s">
        <v>39</v>
      </c>
      <c r="O2" t="s">
        <v>40</v>
      </c>
      <c r="P2" s="3">
        <v>131.94</v>
      </c>
      <c r="Q2" s="3">
        <v>79.59</v>
      </c>
      <c r="R2" s="4">
        <f t="shared" ref="R2:R65" si="0">IFERROR((P2-Q2)/P2,0)</f>
        <v>0.39677125966348337</v>
      </c>
      <c r="S2">
        <v>96</v>
      </c>
      <c r="T2">
        <v>50</v>
      </c>
      <c r="U2" s="3">
        <f t="shared" ref="U2:U65" si="1">P2*S2</f>
        <v>12666.24</v>
      </c>
      <c r="V2" t="s">
        <v>41</v>
      </c>
      <c r="W2" t="s">
        <v>42</v>
      </c>
      <c r="X2">
        <v>3.6</v>
      </c>
      <c r="Y2" t="s">
        <v>43</v>
      </c>
      <c r="Z2">
        <v>750</v>
      </c>
      <c r="AA2" t="s">
        <v>44</v>
      </c>
      <c r="AB2">
        <v>18</v>
      </c>
      <c r="AC2">
        <v>2028</v>
      </c>
      <c r="AD2">
        <v>2041</v>
      </c>
    </row>
    <row r="3" spans="1:30">
      <c r="A3" t="s">
        <v>45</v>
      </c>
      <c r="B3" t="s">
        <v>46</v>
      </c>
      <c r="C3" t="s">
        <v>47</v>
      </c>
      <c r="D3" t="s">
        <v>753</v>
      </c>
      <c r="E3" t="s">
        <v>48</v>
      </c>
      <c r="F3">
        <v>2003</v>
      </c>
      <c r="G3" t="s">
        <v>34</v>
      </c>
      <c r="H3" t="s">
        <v>49</v>
      </c>
      <c r="I3">
        <v>11.4</v>
      </c>
      <c r="J3" t="s">
        <v>36</v>
      </c>
      <c r="K3" t="s">
        <v>50</v>
      </c>
      <c r="L3" t="s">
        <v>50</v>
      </c>
      <c r="M3" t="s">
        <v>38</v>
      </c>
      <c r="N3" t="s">
        <v>51</v>
      </c>
      <c r="O3" t="s">
        <v>52</v>
      </c>
      <c r="P3" s="3">
        <v>141.26</v>
      </c>
      <c r="Q3" s="3">
        <v>82.16</v>
      </c>
      <c r="R3" s="4">
        <f t="shared" si="0"/>
        <v>0.41837746000283166</v>
      </c>
      <c r="S3">
        <v>350</v>
      </c>
      <c r="T3">
        <v>12</v>
      </c>
      <c r="U3" s="3">
        <f t="shared" si="1"/>
        <v>49441</v>
      </c>
      <c r="V3" t="s">
        <v>41</v>
      </c>
      <c r="W3" t="s">
        <v>53</v>
      </c>
      <c r="X3">
        <v>3.9</v>
      </c>
      <c r="Y3" t="s">
        <v>43</v>
      </c>
      <c r="Z3">
        <v>750</v>
      </c>
      <c r="AA3" t="s">
        <v>44</v>
      </c>
      <c r="AB3">
        <v>12</v>
      </c>
      <c r="AC3">
        <v>2021</v>
      </c>
      <c r="AD3">
        <v>2035</v>
      </c>
    </row>
    <row r="4" spans="1:30">
      <c r="A4" t="s">
        <v>54</v>
      </c>
      <c r="B4" t="s">
        <v>55</v>
      </c>
      <c r="C4" t="s">
        <v>56</v>
      </c>
      <c r="D4" t="s">
        <v>754</v>
      </c>
      <c r="E4" t="s">
        <v>57</v>
      </c>
      <c r="F4">
        <v>2020</v>
      </c>
      <c r="G4" t="s">
        <v>34</v>
      </c>
      <c r="H4" t="s">
        <v>58</v>
      </c>
      <c r="I4">
        <v>15.4</v>
      </c>
      <c r="J4" t="s">
        <v>36</v>
      </c>
      <c r="K4" t="s">
        <v>59</v>
      </c>
      <c r="L4" t="s">
        <v>59</v>
      </c>
      <c r="M4" t="s">
        <v>38</v>
      </c>
      <c r="N4" t="s">
        <v>60</v>
      </c>
      <c r="O4" t="s">
        <v>52</v>
      </c>
      <c r="P4" s="3">
        <v>21.28</v>
      </c>
      <c r="Q4" s="3">
        <v>11.43</v>
      </c>
      <c r="R4" s="4">
        <f t="shared" si="0"/>
        <v>0.46287593984962411</v>
      </c>
      <c r="S4">
        <v>600</v>
      </c>
      <c r="T4">
        <v>50</v>
      </c>
      <c r="U4" s="3">
        <f t="shared" si="1"/>
        <v>12768</v>
      </c>
      <c r="V4" t="s">
        <v>41</v>
      </c>
      <c r="W4" t="s">
        <v>53</v>
      </c>
      <c r="X4">
        <v>4.9000000000000004</v>
      </c>
      <c r="Y4" t="s">
        <v>43</v>
      </c>
      <c r="Z4">
        <v>750</v>
      </c>
      <c r="AA4" t="s">
        <v>61</v>
      </c>
      <c r="AB4">
        <v>18</v>
      </c>
      <c r="AC4">
        <v>2025</v>
      </c>
      <c r="AD4">
        <v>2029</v>
      </c>
    </row>
    <row r="5" spans="1:30">
      <c r="A5" t="s">
        <v>62</v>
      </c>
      <c r="B5" t="s">
        <v>63</v>
      </c>
      <c r="C5" t="s">
        <v>47</v>
      </c>
      <c r="D5" t="s">
        <v>755</v>
      </c>
      <c r="E5" t="s">
        <v>64</v>
      </c>
      <c r="F5">
        <v>2013</v>
      </c>
      <c r="G5" t="s">
        <v>65</v>
      </c>
      <c r="H5" t="s">
        <v>66</v>
      </c>
      <c r="I5">
        <v>12.4</v>
      </c>
      <c r="J5" t="s">
        <v>36</v>
      </c>
      <c r="K5" t="s">
        <v>50</v>
      </c>
      <c r="L5" t="s">
        <v>37</v>
      </c>
      <c r="M5" t="s">
        <v>67</v>
      </c>
      <c r="N5" t="s">
        <v>68</v>
      </c>
      <c r="O5" t="s">
        <v>69</v>
      </c>
      <c r="P5" s="3">
        <v>30.11</v>
      </c>
      <c r="Q5" s="3">
        <v>13.15</v>
      </c>
      <c r="R5" s="4">
        <f t="shared" si="0"/>
        <v>0.56326801727000997</v>
      </c>
      <c r="S5">
        <v>1</v>
      </c>
      <c r="T5">
        <v>12</v>
      </c>
      <c r="U5" s="3">
        <f t="shared" si="1"/>
        <v>30.11</v>
      </c>
      <c r="V5" t="s">
        <v>41</v>
      </c>
      <c r="W5" t="s">
        <v>70</v>
      </c>
      <c r="X5">
        <v>3.3</v>
      </c>
      <c r="Y5" t="s">
        <v>71</v>
      </c>
      <c r="Z5">
        <v>1500</v>
      </c>
      <c r="AA5" t="s">
        <v>44</v>
      </c>
      <c r="AB5">
        <v>14</v>
      </c>
      <c r="AC5">
        <v>2027</v>
      </c>
      <c r="AD5">
        <v>2030</v>
      </c>
    </row>
    <row r="6" spans="1:30">
      <c r="A6" t="s">
        <v>72</v>
      </c>
      <c r="B6" t="s">
        <v>73</v>
      </c>
      <c r="C6" t="s">
        <v>74</v>
      </c>
      <c r="D6" t="s">
        <v>756</v>
      </c>
      <c r="E6" t="s">
        <v>75</v>
      </c>
      <c r="F6">
        <v>2010</v>
      </c>
      <c r="G6" t="s">
        <v>34</v>
      </c>
      <c r="H6" t="s">
        <v>66</v>
      </c>
      <c r="I6">
        <v>10.7</v>
      </c>
      <c r="J6" t="s">
        <v>36</v>
      </c>
      <c r="K6" t="s">
        <v>50</v>
      </c>
      <c r="L6" t="s">
        <v>37</v>
      </c>
      <c r="M6" t="s">
        <v>38</v>
      </c>
      <c r="N6" t="s">
        <v>76</v>
      </c>
      <c r="O6" t="s">
        <v>40</v>
      </c>
      <c r="P6" s="3">
        <v>51.57</v>
      </c>
      <c r="Q6" s="3">
        <v>26.49</v>
      </c>
      <c r="R6" s="4">
        <f t="shared" si="0"/>
        <v>0.48632926119837117</v>
      </c>
      <c r="S6">
        <v>12</v>
      </c>
      <c r="T6">
        <v>12</v>
      </c>
      <c r="U6" s="3">
        <f t="shared" si="1"/>
        <v>618.84</v>
      </c>
      <c r="V6" t="s">
        <v>77</v>
      </c>
      <c r="W6" t="s">
        <v>42</v>
      </c>
      <c r="X6">
        <v>4.0999999999999996</v>
      </c>
      <c r="Y6" t="s">
        <v>43</v>
      </c>
      <c r="Z6">
        <v>750</v>
      </c>
      <c r="AA6" t="s">
        <v>61</v>
      </c>
      <c r="AB6">
        <v>10</v>
      </c>
      <c r="AC6">
        <v>2022</v>
      </c>
      <c r="AD6">
        <v>2031</v>
      </c>
    </row>
    <row r="7" spans="1:30">
      <c r="A7" t="s">
        <v>78</v>
      </c>
      <c r="B7" t="s">
        <v>79</v>
      </c>
      <c r="C7" t="s">
        <v>56</v>
      </c>
      <c r="D7" t="s">
        <v>757</v>
      </c>
      <c r="E7" t="s">
        <v>48</v>
      </c>
      <c r="F7">
        <v>2025</v>
      </c>
      <c r="G7" t="s">
        <v>65</v>
      </c>
      <c r="H7" t="s">
        <v>80</v>
      </c>
      <c r="I7">
        <v>12.2</v>
      </c>
      <c r="J7" t="s">
        <v>81</v>
      </c>
      <c r="K7" t="s">
        <v>37</v>
      </c>
      <c r="L7" t="s">
        <v>37</v>
      </c>
      <c r="M7" t="s">
        <v>67</v>
      </c>
      <c r="N7" t="s">
        <v>82</v>
      </c>
      <c r="O7" t="s">
        <v>83</v>
      </c>
      <c r="P7" s="3">
        <v>1228.79</v>
      </c>
      <c r="Q7" s="3">
        <v>644.80999999999995</v>
      </c>
      <c r="R7" s="4">
        <f t="shared" si="0"/>
        <v>0.4752480082031918</v>
      </c>
      <c r="S7">
        <v>0</v>
      </c>
      <c r="T7">
        <v>12</v>
      </c>
      <c r="U7" s="3">
        <f t="shared" si="1"/>
        <v>0</v>
      </c>
      <c r="V7" t="s">
        <v>84</v>
      </c>
      <c r="W7" t="s">
        <v>53</v>
      </c>
      <c r="X7">
        <v>4</v>
      </c>
      <c r="Y7" t="s">
        <v>71</v>
      </c>
      <c r="Z7">
        <v>750</v>
      </c>
      <c r="AA7" t="s">
        <v>85</v>
      </c>
      <c r="AB7">
        <v>14</v>
      </c>
      <c r="AC7">
        <v>2021</v>
      </c>
      <c r="AD7">
        <v>2025</v>
      </c>
    </row>
    <row r="8" spans="1:30">
      <c r="A8" t="s">
        <v>86</v>
      </c>
      <c r="B8" t="s">
        <v>87</v>
      </c>
      <c r="C8" t="s">
        <v>47</v>
      </c>
      <c r="D8" t="s">
        <v>758</v>
      </c>
      <c r="E8" t="s">
        <v>75</v>
      </c>
      <c r="F8">
        <v>1999</v>
      </c>
      <c r="G8" t="s">
        <v>88</v>
      </c>
      <c r="H8" t="s">
        <v>89</v>
      </c>
      <c r="I8">
        <v>15.4</v>
      </c>
      <c r="J8" t="s">
        <v>36</v>
      </c>
      <c r="K8" t="s">
        <v>59</v>
      </c>
      <c r="L8" t="s">
        <v>37</v>
      </c>
      <c r="M8" t="s">
        <v>59</v>
      </c>
      <c r="N8" t="s">
        <v>90</v>
      </c>
      <c r="O8" t="s">
        <v>91</v>
      </c>
      <c r="P8" s="3">
        <v>64.349999999999994</v>
      </c>
      <c r="Q8" s="3">
        <v>32.01</v>
      </c>
      <c r="R8" s="4">
        <f t="shared" si="0"/>
        <v>0.50256410256410255</v>
      </c>
      <c r="S8">
        <v>200</v>
      </c>
      <c r="T8">
        <v>24</v>
      </c>
      <c r="U8" s="3">
        <f t="shared" si="1"/>
        <v>12869.999999999998</v>
      </c>
      <c r="V8" t="s">
        <v>41</v>
      </c>
      <c r="W8" t="s">
        <v>53</v>
      </c>
      <c r="X8">
        <v>3.8</v>
      </c>
      <c r="Y8" t="s">
        <v>71</v>
      </c>
      <c r="Z8">
        <v>750</v>
      </c>
      <c r="AA8" t="s">
        <v>61</v>
      </c>
      <c r="AB8">
        <v>12</v>
      </c>
      <c r="AC8">
        <v>2022</v>
      </c>
      <c r="AD8">
        <v>2025</v>
      </c>
    </row>
    <row r="9" spans="1:30">
      <c r="A9" t="s">
        <v>92</v>
      </c>
      <c r="B9" t="s">
        <v>93</v>
      </c>
      <c r="C9" t="s">
        <v>94</v>
      </c>
      <c r="D9" t="s">
        <v>759</v>
      </c>
      <c r="E9" t="s">
        <v>95</v>
      </c>
      <c r="F9">
        <v>2017</v>
      </c>
      <c r="G9" t="s">
        <v>34</v>
      </c>
      <c r="H9" t="s">
        <v>96</v>
      </c>
      <c r="I9">
        <v>11.9</v>
      </c>
      <c r="J9" t="s">
        <v>36</v>
      </c>
      <c r="K9" t="s">
        <v>59</v>
      </c>
      <c r="L9" t="s">
        <v>50</v>
      </c>
      <c r="M9" t="s">
        <v>38</v>
      </c>
      <c r="N9" t="s">
        <v>97</v>
      </c>
      <c r="O9" t="s">
        <v>98</v>
      </c>
      <c r="P9" s="3">
        <v>290.20999999999998</v>
      </c>
      <c r="Q9" s="3">
        <v>204.31</v>
      </c>
      <c r="R9" s="4">
        <f t="shared" si="0"/>
        <v>0.29599255711381406</v>
      </c>
      <c r="S9">
        <v>96</v>
      </c>
      <c r="T9">
        <v>12</v>
      </c>
      <c r="U9" s="3">
        <f t="shared" si="1"/>
        <v>27860.159999999996</v>
      </c>
      <c r="V9" t="s">
        <v>41</v>
      </c>
      <c r="W9" t="s">
        <v>53</v>
      </c>
      <c r="X9">
        <v>3.6</v>
      </c>
      <c r="Y9" t="s">
        <v>71</v>
      </c>
      <c r="Z9">
        <v>1500</v>
      </c>
      <c r="AA9" t="s">
        <v>44</v>
      </c>
      <c r="AB9">
        <v>18</v>
      </c>
      <c r="AC9">
        <v>2026</v>
      </c>
      <c r="AD9">
        <v>2031</v>
      </c>
    </row>
    <row r="10" spans="1:30">
      <c r="A10" t="s">
        <v>99</v>
      </c>
      <c r="B10" t="s">
        <v>100</v>
      </c>
      <c r="C10" t="s">
        <v>32</v>
      </c>
      <c r="D10" t="s">
        <v>760</v>
      </c>
      <c r="E10" t="s">
        <v>101</v>
      </c>
      <c r="F10">
        <v>2000</v>
      </c>
      <c r="G10" t="s">
        <v>34</v>
      </c>
      <c r="H10" t="s">
        <v>96</v>
      </c>
      <c r="I10">
        <v>9.9</v>
      </c>
      <c r="J10" t="s">
        <v>36</v>
      </c>
      <c r="K10" t="s">
        <v>59</v>
      </c>
      <c r="L10" t="s">
        <v>59</v>
      </c>
      <c r="M10" t="s">
        <v>38</v>
      </c>
      <c r="N10" t="s">
        <v>76</v>
      </c>
      <c r="O10" t="s">
        <v>40</v>
      </c>
      <c r="P10" s="3">
        <v>103.53</v>
      </c>
      <c r="Q10" s="3">
        <v>56.22</v>
      </c>
      <c r="R10" s="4">
        <f t="shared" si="0"/>
        <v>0.45696899449434947</v>
      </c>
      <c r="S10">
        <v>120</v>
      </c>
      <c r="T10">
        <v>12</v>
      </c>
      <c r="U10" s="3">
        <f t="shared" si="1"/>
        <v>12423.6</v>
      </c>
      <c r="V10" t="s">
        <v>77</v>
      </c>
      <c r="W10" t="s">
        <v>102</v>
      </c>
      <c r="X10">
        <v>4.5999999999999996</v>
      </c>
      <c r="Y10" t="s">
        <v>43</v>
      </c>
      <c r="Z10">
        <v>750</v>
      </c>
      <c r="AA10" t="s">
        <v>85</v>
      </c>
      <c r="AB10">
        <v>8</v>
      </c>
      <c r="AC10">
        <v>2026</v>
      </c>
      <c r="AD10">
        <v>2031</v>
      </c>
    </row>
    <row r="11" spans="1:30">
      <c r="A11" t="s">
        <v>103</v>
      </c>
      <c r="B11" t="s">
        <v>104</v>
      </c>
      <c r="C11" t="s">
        <v>94</v>
      </c>
      <c r="D11" t="s">
        <v>761</v>
      </c>
      <c r="E11" t="s">
        <v>105</v>
      </c>
      <c r="F11">
        <v>2006</v>
      </c>
      <c r="G11" t="s">
        <v>34</v>
      </c>
      <c r="H11" t="s">
        <v>49</v>
      </c>
      <c r="I11">
        <v>9.6</v>
      </c>
      <c r="J11" t="s">
        <v>36</v>
      </c>
      <c r="K11" t="s">
        <v>37</v>
      </c>
      <c r="L11" t="s">
        <v>50</v>
      </c>
      <c r="M11" t="s">
        <v>38</v>
      </c>
      <c r="N11" t="s">
        <v>106</v>
      </c>
      <c r="O11" t="s">
        <v>40</v>
      </c>
      <c r="P11" s="3">
        <v>263.58999999999997</v>
      </c>
      <c r="Q11" s="3">
        <v>135.87</v>
      </c>
      <c r="R11" s="4">
        <f t="shared" si="0"/>
        <v>0.48454038468834165</v>
      </c>
      <c r="S11">
        <v>0</v>
      </c>
      <c r="T11">
        <v>50</v>
      </c>
      <c r="U11" s="3">
        <f t="shared" si="1"/>
        <v>0</v>
      </c>
      <c r="V11" t="s">
        <v>84</v>
      </c>
      <c r="W11" t="s">
        <v>107</v>
      </c>
      <c r="X11">
        <v>3.9</v>
      </c>
      <c r="Y11" t="s">
        <v>43</v>
      </c>
      <c r="Z11">
        <v>375</v>
      </c>
      <c r="AA11" t="s">
        <v>61</v>
      </c>
      <c r="AB11">
        <v>8</v>
      </c>
      <c r="AC11">
        <v>2025</v>
      </c>
      <c r="AD11">
        <v>2033</v>
      </c>
    </row>
    <row r="12" spans="1:30">
      <c r="A12" t="s">
        <v>108</v>
      </c>
      <c r="B12" t="s">
        <v>109</v>
      </c>
      <c r="C12" t="s">
        <v>74</v>
      </c>
      <c r="D12" t="s">
        <v>762</v>
      </c>
      <c r="E12" t="s">
        <v>110</v>
      </c>
      <c r="F12">
        <v>2010</v>
      </c>
      <c r="G12" t="s">
        <v>34</v>
      </c>
      <c r="H12" t="s">
        <v>111</v>
      </c>
      <c r="I12">
        <v>10.6</v>
      </c>
      <c r="J12" t="s">
        <v>81</v>
      </c>
      <c r="K12" t="s">
        <v>50</v>
      </c>
      <c r="L12" t="s">
        <v>37</v>
      </c>
      <c r="M12" t="s">
        <v>38</v>
      </c>
      <c r="N12" t="s">
        <v>112</v>
      </c>
      <c r="O12" t="s">
        <v>40</v>
      </c>
      <c r="P12" s="3">
        <v>191.02</v>
      </c>
      <c r="Q12" s="3">
        <v>72.14</v>
      </c>
      <c r="R12" s="4">
        <f t="shared" si="0"/>
        <v>0.62234321013506444</v>
      </c>
      <c r="S12">
        <v>1</v>
      </c>
      <c r="T12">
        <v>24</v>
      </c>
      <c r="U12" s="3">
        <f t="shared" si="1"/>
        <v>191.02</v>
      </c>
      <c r="V12" t="s">
        <v>77</v>
      </c>
      <c r="W12" t="s">
        <v>42</v>
      </c>
      <c r="X12">
        <v>4.7</v>
      </c>
      <c r="Y12" t="s">
        <v>43</v>
      </c>
      <c r="Z12">
        <v>750</v>
      </c>
      <c r="AA12" t="s">
        <v>85</v>
      </c>
      <c r="AB12">
        <v>14</v>
      </c>
      <c r="AC12">
        <v>2024</v>
      </c>
      <c r="AD12">
        <v>2027</v>
      </c>
    </row>
    <row r="13" spans="1:30">
      <c r="A13" t="s">
        <v>113</v>
      </c>
      <c r="B13" t="s">
        <v>114</v>
      </c>
      <c r="C13" t="s">
        <v>115</v>
      </c>
      <c r="D13" t="s">
        <v>763</v>
      </c>
      <c r="E13" t="s">
        <v>116</v>
      </c>
      <c r="F13">
        <v>2016</v>
      </c>
      <c r="G13" t="s">
        <v>34</v>
      </c>
      <c r="H13" t="s">
        <v>49</v>
      </c>
      <c r="I13">
        <v>12.9</v>
      </c>
      <c r="J13" t="s">
        <v>81</v>
      </c>
      <c r="K13" t="s">
        <v>59</v>
      </c>
      <c r="L13" t="s">
        <v>59</v>
      </c>
      <c r="M13" t="s">
        <v>38</v>
      </c>
      <c r="N13" t="s">
        <v>117</v>
      </c>
      <c r="O13" t="s">
        <v>118</v>
      </c>
      <c r="P13" s="3">
        <v>399.13</v>
      </c>
      <c r="Q13" s="3">
        <v>161.29</v>
      </c>
      <c r="R13" s="4">
        <f t="shared" si="0"/>
        <v>0.59589607396086486</v>
      </c>
      <c r="S13">
        <v>96</v>
      </c>
      <c r="T13">
        <v>24</v>
      </c>
      <c r="U13" s="3">
        <f t="shared" si="1"/>
        <v>38316.479999999996</v>
      </c>
      <c r="V13" t="s">
        <v>41</v>
      </c>
      <c r="W13" t="s">
        <v>102</v>
      </c>
      <c r="X13">
        <v>3.9</v>
      </c>
      <c r="Y13" t="s">
        <v>71</v>
      </c>
      <c r="Z13">
        <v>750</v>
      </c>
      <c r="AA13" t="s">
        <v>85</v>
      </c>
      <c r="AB13">
        <v>8</v>
      </c>
      <c r="AC13">
        <v>2026</v>
      </c>
      <c r="AD13">
        <v>2036</v>
      </c>
    </row>
    <row r="14" spans="1:30">
      <c r="A14" t="s">
        <v>119</v>
      </c>
      <c r="B14" t="s">
        <v>120</v>
      </c>
      <c r="C14" t="s">
        <v>121</v>
      </c>
      <c r="D14" t="s">
        <v>760</v>
      </c>
      <c r="E14" t="s">
        <v>122</v>
      </c>
      <c r="F14">
        <v>2004</v>
      </c>
      <c r="G14" t="s">
        <v>88</v>
      </c>
      <c r="H14" t="s">
        <v>123</v>
      </c>
      <c r="I14">
        <v>11</v>
      </c>
      <c r="J14" t="s">
        <v>36</v>
      </c>
      <c r="K14" t="s">
        <v>50</v>
      </c>
      <c r="L14" t="s">
        <v>37</v>
      </c>
      <c r="M14" t="s">
        <v>59</v>
      </c>
      <c r="N14" t="s">
        <v>124</v>
      </c>
      <c r="O14" t="s">
        <v>125</v>
      </c>
      <c r="P14" s="3">
        <v>400.57</v>
      </c>
      <c r="Q14" s="3">
        <v>149.93</v>
      </c>
      <c r="R14" s="4">
        <f t="shared" si="0"/>
        <v>0.62570836557904985</v>
      </c>
      <c r="S14">
        <v>0</v>
      </c>
      <c r="T14">
        <v>36</v>
      </c>
      <c r="U14" s="3">
        <f t="shared" si="1"/>
        <v>0</v>
      </c>
      <c r="V14" t="s">
        <v>84</v>
      </c>
      <c r="W14" t="s">
        <v>70</v>
      </c>
      <c r="X14">
        <v>4</v>
      </c>
      <c r="Y14" t="s">
        <v>71</v>
      </c>
      <c r="Z14">
        <v>750</v>
      </c>
      <c r="AA14" t="s">
        <v>44</v>
      </c>
      <c r="AB14">
        <v>10</v>
      </c>
      <c r="AC14">
        <v>2024</v>
      </c>
      <c r="AD14">
        <v>2038</v>
      </c>
    </row>
    <row r="15" spans="1:30">
      <c r="A15" t="s">
        <v>126</v>
      </c>
      <c r="B15" t="s">
        <v>127</v>
      </c>
      <c r="C15" t="s">
        <v>115</v>
      </c>
      <c r="D15" t="s">
        <v>756</v>
      </c>
      <c r="E15" t="s">
        <v>128</v>
      </c>
      <c r="F15">
        <v>2022</v>
      </c>
      <c r="G15" t="s">
        <v>34</v>
      </c>
      <c r="H15" t="s">
        <v>58</v>
      </c>
      <c r="I15">
        <v>9.1999999999999993</v>
      </c>
      <c r="J15" t="s">
        <v>36</v>
      </c>
      <c r="K15" t="s">
        <v>59</v>
      </c>
      <c r="L15" t="s">
        <v>50</v>
      </c>
      <c r="M15" t="s">
        <v>38</v>
      </c>
      <c r="N15" t="s">
        <v>129</v>
      </c>
      <c r="O15" t="s">
        <v>118</v>
      </c>
      <c r="P15" s="3">
        <v>211.25</v>
      </c>
      <c r="Q15" s="3">
        <v>112.59</v>
      </c>
      <c r="R15" s="4">
        <f t="shared" si="0"/>
        <v>0.46702958579881654</v>
      </c>
      <c r="S15">
        <v>120</v>
      </c>
      <c r="T15">
        <v>36</v>
      </c>
      <c r="U15" s="3">
        <f t="shared" si="1"/>
        <v>25350</v>
      </c>
      <c r="V15" t="s">
        <v>41</v>
      </c>
      <c r="W15" t="s">
        <v>102</v>
      </c>
      <c r="X15">
        <v>4.5</v>
      </c>
      <c r="Y15" t="s">
        <v>43</v>
      </c>
      <c r="Z15">
        <v>750</v>
      </c>
      <c r="AA15" t="s">
        <v>44</v>
      </c>
      <c r="AB15">
        <v>10</v>
      </c>
      <c r="AC15">
        <v>2027</v>
      </c>
      <c r="AD15">
        <v>2031</v>
      </c>
    </row>
    <row r="16" spans="1:30">
      <c r="A16" t="s">
        <v>130</v>
      </c>
      <c r="B16" t="s">
        <v>131</v>
      </c>
      <c r="C16" t="s">
        <v>132</v>
      </c>
      <c r="D16" t="s">
        <v>764</v>
      </c>
      <c r="E16" t="s">
        <v>133</v>
      </c>
      <c r="F16">
        <v>2000</v>
      </c>
      <c r="G16" t="s">
        <v>134</v>
      </c>
      <c r="H16" t="s">
        <v>135</v>
      </c>
      <c r="I16">
        <v>11.5</v>
      </c>
      <c r="J16" t="s">
        <v>136</v>
      </c>
      <c r="K16" t="s">
        <v>37</v>
      </c>
      <c r="L16" t="s">
        <v>37</v>
      </c>
      <c r="M16" t="s">
        <v>59</v>
      </c>
      <c r="N16" t="s">
        <v>137</v>
      </c>
      <c r="O16" t="s">
        <v>138</v>
      </c>
      <c r="P16" s="3">
        <v>133.29</v>
      </c>
      <c r="Q16" s="3">
        <v>51.54</v>
      </c>
      <c r="R16" s="4">
        <f t="shared" si="0"/>
        <v>0.61332433040738243</v>
      </c>
      <c r="S16">
        <v>48</v>
      </c>
      <c r="T16">
        <v>6</v>
      </c>
      <c r="U16" s="3">
        <f t="shared" si="1"/>
        <v>6397.92</v>
      </c>
      <c r="V16" t="s">
        <v>41</v>
      </c>
      <c r="W16" t="s">
        <v>42</v>
      </c>
      <c r="X16">
        <v>4.3</v>
      </c>
      <c r="Y16" t="s">
        <v>71</v>
      </c>
      <c r="Z16">
        <v>750</v>
      </c>
      <c r="AA16" t="s">
        <v>44</v>
      </c>
      <c r="AB16">
        <v>14</v>
      </c>
      <c r="AC16">
        <v>2023</v>
      </c>
      <c r="AD16">
        <v>2035</v>
      </c>
    </row>
    <row r="17" spans="1:30">
      <c r="A17" t="s">
        <v>139</v>
      </c>
      <c r="B17" t="s">
        <v>140</v>
      </c>
      <c r="C17" t="s">
        <v>141</v>
      </c>
      <c r="D17" t="s">
        <v>765</v>
      </c>
      <c r="E17" t="s">
        <v>142</v>
      </c>
      <c r="F17">
        <v>2006</v>
      </c>
      <c r="G17" t="s">
        <v>134</v>
      </c>
      <c r="H17" t="s">
        <v>143</v>
      </c>
      <c r="I17">
        <v>12.2</v>
      </c>
      <c r="J17" t="s">
        <v>136</v>
      </c>
      <c r="K17" t="s">
        <v>50</v>
      </c>
      <c r="L17" t="s">
        <v>37</v>
      </c>
      <c r="M17" t="s">
        <v>59</v>
      </c>
      <c r="N17" t="s">
        <v>144</v>
      </c>
      <c r="O17" t="s">
        <v>145</v>
      </c>
      <c r="P17" s="3">
        <v>159.88999999999999</v>
      </c>
      <c r="Q17" s="3">
        <v>114.83</v>
      </c>
      <c r="R17" s="4">
        <f t="shared" si="0"/>
        <v>0.28181875039089371</v>
      </c>
      <c r="S17">
        <v>600</v>
      </c>
      <c r="T17">
        <v>12</v>
      </c>
      <c r="U17" s="3">
        <f t="shared" si="1"/>
        <v>95933.999999999985</v>
      </c>
      <c r="V17" t="s">
        <v>77</v>
      </c>
      <c r="W17" t="s">
        <v>53</v>
      </c>
      <c r="X17">
        <v>4.7</v>
      </c>
      <c r="Y17" t="s">
        <v>43</v>
      </c>
      <c r="Z17">
        <v>375</v>
      </c>
      <c r="AA17" t="s">
        <v>44</v>
      </c>
      <c r="AB17">
        <v>18</v>
      </c>
      <c r="AC17">
        <v>2026</v>
      </c>
      <c r="AD17">
        <v>2034</v>
      </c>
    </row>
    <row r="18" spans="1:30">
      <c r="A18" t="s">
        <v>146</v>
      </c>
      <c r="B18" t="s">
        <v>147</v>
      </c>
      <c r="C18" t="s">
        <v>148</v>
      </c>
      <c r="D18" t="s">
        <v>766</v>
      </c>
      <c r="E18" t="s">
        <v>149</v>
      </c>
      <c r="F18" t="s">
        <v>150</v>
      </c>
      <c r="G18" t="s">
        <v>151</v>
      </c>
      <c r="H18" t="s">
        <v>152</v>
      </c>
      <c r="I18">
        <v>8.3000000000000007</v>
      </c>
      <c r="J18" t="s">
        <v>36</v>
      </c>
      <c r="K18" t="s">
        <v>37</v>
      </c>
      <c r="L18" t="s">
        <v>37</v>
      </c>
      <c r="M18" t="s">
        <v>67</v>
      </c>
      <c r="N18" t="s">
        <v>153</v>
      </c>
      <c r="O18" t="s">
        <v>154</v>
      </c>
      <c r="P18" s="3">
        <v>232.92</v>
      </c>
      <c r="Q18" s="3">
        <v>96.95</v>
      </c>
      <c r="R18" s="4">
        <f t="shared" si="0"/>
        <v>0.58376266529280429</v>
      </c>
      <c r="S18">
        <v>72</v>
      </c>
      <c r="T18">
        <v>24</v>
      </c>
      <c r="U18" s="3">
        <f t="shared" si="1"/>
        <v>16770.239999999998</v>
      </c>
      <c r="V18" t="s">
        <v>77</v>
      </c>
      <c r="W18" t="s">
        <v>53</v>
      </c>
      <c r="X18">
        <v>4.2</v>
      </c>
      <c r="Y18" t="s">
        <v>71</v>
      </c>
      <c r="Z18">
        <v>750</v>
      </c>
      <c r="AA18" t="s">
        <v>85</v>
      </c>
      <c r="AB18">
        <v>12</v>
      </c>
      <c r="AC18">
        <v>2024</v>
      </c>
      <c r="AD18">
        <v>2033</v>
      </c>
    </row>
    <row r="19" spans="1:30">
      <c r="A19" t="s">
        <v>155</v>
      </c>
      <c r="B19" t="s">
        <v>156</v>
      </c>
      <c r="C19" t="s">
        <v>115</v>
      </c>
      <c r="D19" t="s">
        <v>764</v>
      </c>
      <c r="E19" t="s">
        <v>48</v>
      </c>
      <c r="F19">
        <v>2012</v>
      </c>
      <c r="G19" t="s">
        <v>65</v>
      </c>
      <c r="H19" t="s">
        <v>66</v>
      </c>
      <c r="I19">
        <v>12</v>
      </c>
      <c r="J19" t="s">
        <v>36</v>
      </c>
      <c r="K19" t="s">
        <v>50</v>
      </c>
      <c r="L19" t="s">
        <v>37</v>
      </c>
      <c r="M19" t="s">
        <v>67</v>
      </c>
      <c r="N19" t="s">
        <v>157</v>
      </c>
      <c r="O19" t="s">
        <v>69</v>
      </c>
      <c r="P19" s="3">
        <v>225.38</v>
      </c>
      <c r="Q19" s="3">
        <v>83.6</v>
      </c>
      <c r="R19" s="4">
        <f t="shared" si="0"/>
        <v>0.62907090247581865</v>
      </c>
      <c r="S19">
        <v>350</v>
      </c>
      <c r="T19">
        <v>24</v>
      </c>
      <c r="U19" s="3">
        <f t="shared" si="1"/>
        <v>78883</v>
      </c>
      <c r="V19" t="s">
        <v>77</v>
      </c>
      <c r="W19" t="s">
        <v>53</v>
      </c>
      <c r="X19">
        <v>3.4</v>
      </c>
      <c r="Y19" t="s">
        <v>43</v>
      </c>
      <c r="Z19">
        <v>750</v>
      </c>
      <c r="AA19" t="s">
        <v>85</v>
      </c>
      <c r="AB19">
        <v>16</v>
      </c>
      <c r="AC19">
        <v>2024</v>
      </c>
      <c r="AD19">
        <v>2031</v>
      </c>
    </row>
    <row r="20" spans="1:30">
      <c r="A20" t="s">
        <v>158</v>
      </c>
      <c r="B20" t="s">
        <v>159</v>
      </c>
      <c r="C20" t="s">
        <v>94</v>
      </c>
      <c r="D20" t="s">
        <v>767</v>
      </c>
      <c r="E20" t="s">
        <v>160</v>
      </c>
      <c r="F20">
        <v>2000</v>
      </c>
      <c r="G20" t="s">
        <v>88</v>
      </c>
      <c r="H20" t="s">
        <v>161</v>
      </c>
      <c r="I20">
        <v>15.5</v>
      </c>
      <c r="J20" t="s">
        <v>36</v>
      </c>
      <c r="K20" t="s">
        <v>50</v>
      </c>
      <c r="L20" t="s">
        <v>37</v>
      </c>
      <c r="M20" t="s">
        <v>59</v>
      </c>
      <c r="N20" t="s">
        <v>162</v>
      </c>
      <c r="O20" t="s">
        <v>125</v>
      </c>
      <c r="P20" s="3">
        <v>216.16</v>
      </c>
      <c r="Q20" s="3">
        <v>99.88</v>
      </c>
      <c r="R20" s="4">
        <f t="shared" si="0"/>
        <v>0.53793486306439675</v>
      </c>
      <c r="S20">
        <v>120</v>
      </c>
      <c r="T20">
        <v>12</v>
      </c>
      <c r="U20" s="3">
        <f t="shared" si="1"/>
        <v>25939.200000000001</v>
      </c>
      <c r="V20" t="s">
        <v>77</v>
      </c>
      <c r="W20" t="s">
        <v>107</v>
      </c>
      <c r="X20">
        <v>3.3</v>
      </c>
      <c r="Y20" t="s">
        <v>43</v>
      </c>
      <c r="Z20">
        <v>750</v>
      </c>
      <c r="AA20" t="s">
        <v>44</v>
      </c>
      <c r="AB20">
        <v>10</v>
      </c>
      <c r="AC20">
        <v>2022</v>
      </c>
      <c r="AD20">
        <v>2027</v>
      </c>
    </row>
    <row r="21" spans="1:30">
      <c r="A21" t="s">
        <v>163</v>
      </c>
      <c r="B21" t="s">
        <v>164</v>
      </c>
      <c r="C21" t="s">
        <v>94</v>
      </c>
      <c r="D21" t="s">
        <v>768</v>
      </c>
      <c r="E21" t="s">
        <v>165</v>
      </c>
      <c r="F21">
        <v>2008</v>
      </c>
      <c r="G21" t="s">
        <v>34</v>
      </c>
      <c r="H21" t="s">
        <v>49</v>
      </c>
      <c r="I21">
        <v>9.8000000000000007</v>
      </c>
      <c r="J21" t="s">
        <v>36</v>
      </c>
      <c r="K21" t="s">
        <v>59</v>
      </c>
      <c r="L21" t="s">
        <v>59</v>
      </c>
      <c r="M21" t="s">
        <v>38</v>
      </c>
      <c r="N21" t="s">
        <v>166</v>
      </c>
      <c r="O21" t="s">
        <v>118</v>
      </c>
      <c r="P21" s="3">
        <v>83.13</v>
      </c>
      <c r="Q21" s="3">
        <v>48.83</v>
      </c>
      <c r="R21" s="4">
        <f t="shared" si="0"/>
        <v>0.41260676049560929</v>
      </c>
      <c r="S21">
        <v>120</v>
      </c>
      <c r="T21">
        <v>24</v>
      </c>
      <c r="U21" s="3">
        <f t="shared" si="1"/>
        <v>9975.5999999999985</v>
      </c>
      <c r="V21" t="s">
        <v>41</v>
      </c>
      <c r="W21" t="s">
        <v>107</v>
      </c>
      <c r="X21">
        <v>3.6</v>
      </c>
      <c r="Y21" t="s">
        <v>43</v>
      </c>
      <c r="Z21">
        <v>750</v>
      </c>
      <c r="AA21" t="s">
        <v>61</v>
      </c>
      <c r="AB21">
        <v>18</v>
      </c>
      <c r="AC21">
        <v>2022</v>
      </c>
      <c r="AD21">
        <v>2035</v>
      </c>
    </row>
    <row r="22" spans="1:30">
      <c r="A22" t="s">
        <v>167</v>
      </c>
      <c r="B22" t="s">
        <v>168</v>
      </c>
      <c r="C22" t="s">
        <v>141</v>
      </c>
      <c r="D22" t="s">
        <v>769</v>
      </c>
      <c r="E22" t="s">
        <v>169</v>
      </c>
      <c r="F22">
        <v>2006</v>
      </c>
      <c r="G22" t="s">
        <v>88</v>
      </c>
      <c r="H22" t="s">
        <v>123</v>
      </c>
      <c r="I22">
        <v>11.2</v>
      </c>
      <c r="J22" t="s">
        <v>36</v>
      </c>
      <c r="K22" t="s">
        <v>50</v>
      </c>
      <c r="L22" t="s">
        <v>37</v>
      </c>
      <c r="M22" t="s">
        <v>59</v>
      </c>
      <c r="N22" t="s">
        <v>170</v>
      </c>
      <c r="O22" t="s">
        <v>91</v>
      </c>
      <c r="P22" s="3">
        <v>150.51</v>
      </c>
      <c r="Q22" s="3">
        <v>83.03</v>
      </c>
      <c r="R22" s="4">
        <f t="shared" si="0"/>
        <v>0.44834230283702076</v>
      </c>
      <c r="S22">
        <v>12</v>
      </c>
      <c r="T22">
        <v>6</v>
      </c>
      <c r="U22" s="3">
        <f t="shared" si="1"/>
        <v>1806.12</v>
      </c>
      <c r="V22" t="s">
        <v>41</v>
      </c>
      <c r="W22" t="s">
        <v>107</v>
      </c>
      <c r="X22">
        <v>3.6</v>
      </c>
      <c r="Y22" t="s">
        <v>43</v>
      </c>
      <c r="Z22">
        <v>375</v>
      </c>
      <c r="AA22" t="s">
        <v>85</v>
      </c>
      <c r="AB22">
        <v>8</v>
      </c>
      <c r="AC22">
        <v>2024</v>
      </c>
      <c r="AD22">
        <v>2031</v>
      </c>
    </row>
    <row r="23" spans="1:30">
      <c r="A23" t="s">
        <v>171</v>
      </c>
      <c r="B23" t="s">
        <v>172</v>
      </c>
      <c r="C23" t="s">
        <v>115</v>
      </c>
      <c r="D23" t="s">
        <v>770</v>
      </c>
      <c r="E23" t="s">
        <v>64</v>
      </c>
      <c r="F23">
        <v>2002</v>
      </c>
      <c r="G23" t="s">
        <v>34</v>
      </c>
      <c r="H23" t="s">
        <v>96</v>
      </c>
      <c r="I23">
        <v>7.9</v>
      </c>
      <c r="J23" t="s">
        <v>36</v>
      </c>
      <c r="K23" t="s">
        <v>37</v>
      </c>
      <c r="L23" t="s">
        <v>59</v>
      </c>
      <c r="M23" t="s">
        <v>38</v>
      </c>
      <c r="N23" t="s">
        <v>39</v>
      </c>
      <c r="O23" t="s">
        <v>52</v>
      </c>
      <c r="P23" s="3">
        <v>1638.09</v>
      </c>
      <c r="Q23" s="3">
        <v>760.16</v>
      </c>
      <c r="R23" s="4">
        <f t="shared" si="0"/>
        <v>0.53594735332002519</v>
      </c>
      <c r="S23">
        <v>36</v>
      </c>
      <c r="T23">
        <v>50</v>
      </c>
      <c r="U23" s="3">
        <f t="shared" si="1"/>
        <v>58971.24</v>
      </c>
      <c r="V23" t="s">
        <v>41</v>
      </c>
      <c r="W23" t="s">
        <v>102</v>
      </c>
      <c r="X23">
        <v>3.2</v>
      </c>
      <c r="Y23" t="s">
        <v>43</v>
      </c>
      <c r="Z23">
        <v>750</v>
      </c>
      <c r="AA23" t="s">
        <v>61</v>
      </c>
      <c r="AB23">
        <v>12</v>
      </c>
      <c r="AC23">
        <v>2023</v>
      </c>
      <c r="AD23">
        <v>2033</v>
      </c>
    </row>
    <row r="24" spans="1:30">
      <c r="A24" t="s">
        <v>173</v>
      </c>
      <c r="B24" t="s">
        <v>174</v>
      </c>
      <c r="C24" t="s">
        <v>121</v>
      </c>
      <c r="D24" t="s">
        <v>771</v>
      </c>
      <c r="E24" t="s">
        <v>165</v>
      </c>
      <c r="F24">
        <v>2024</v>
      </c>
      <c r="G24" t="s">
        <v>88</v>
      </c>
      <c r="H24" t="s">
        <v>161</v>
      </c>
      <c r="I24">
        <v>12.1</v>
      </c>
      <c r="J24" t="s">
        <v>81</v>
      </c>
      <c r="K24" t="s">
        <v>37</v>
      </c>
      <c r="L24" t="s">
        <v>37</v>
      </c>
      <c r="M24" t="s">
        <v>59</v>
      </c>
      <c r="N24" t="s">
        <v>90</v>
      </c>
      <c r="O24" t="s">
        <v>91</v>
      </c>
      <c r="P24" s="3">
        <v>1648.44</v>
      </c>
      <c r="Q24" s="3">
        <v>669.26</v>
      </c>
      <c r="R24" s="4">
        <f t="shared" si="0"/>
        <v>0.59400402805076313</v>
      </c>
      <c r="S24">
        <v>12</v>
      </c>
      <c r="T24">
        <v>6</v>
      </c>
      <c r="U24" s="3">
        <f t="shared" si="1"/>
        <v>19781.28</v>
      </c>
      <c r="V24" t="s">
        <v>77</v>
      </c>
      <c r="W24" t="s">
        <v>42</v>
      </c>
      <c r="X24">
        <v>4.3</v>
      </c>
      <c r="Y24" t="s">
        <v>43</v>
      </c>
      <c r="Z24">
        <v>1500</v>
      </c>
      <c r="AA24" t="s">
        <v>44</v>
      </c>
      <c r="AB24">
        <v>18</v>
      </c>
      <c r="AC24">
        <v>2023</v>
      </c>
      <c r="AD24">
        <v>2033</v>
      </c>
    </row>
    <row r="25" spans="1:30">
      <c r="A25" t="s">
        <v>175</v>
      </c>
      <c r="B25" t="s">
        <v>176</v>
      </c>
      <c r="C25" t="s">
        <v>177</v>
      </c>
      <c r="D25" t="s">
        <v>772</v>
      </c>
      <c r="E25" t="s">
        <v>101</v>
      </c>
      <c r="F25">
        <v>2016</v>
      </c>
      <c r="G25" t="s">
        <v>88</v>
      </c>
      <c r="H25" t="s">
        <v>152</v>
      </c>
      <c r="I25">
        <v>11.4</v>
      </c>
      <c r="J25" t="s">
        <v>36</v>
      </c>
      <c r="K25" t="s">
        <v>59</v>
      </c>
      <c r="L25" t="s">
        <v>37</v>
      </c>
      <c r="M25" t="s">
        <v>59</v>
      </c>
      <c r="N25" t="s">
        <v>178</v>
      </c>
      <c r="O25" t="s">
        <v>91</v>
      </c>
      <c r="P25" s="3">
        <v>231.19</v>
      </c>
      <c r="Q25" s="3">
        <v>93.3</v>
      </c>
      <c r="R25" s="4">
        <f t="shared" si="0"/>
        <v>0.59643583199965389</v>
      </c>
      <c r="S25">
        <v>36</v>
      </c>
      <c r="T25">
        <v>24</v>
      </c>
      <c r="U25" s="3">
        <f t="shared" si="1"/>
        <v>8322.84</v>
      </c>
      <c r="V25" t="s">
        <v>41</v>
      </c>
      <c r="W25" t="s">
        <v>70</v>
      </c>
      <c r="X25">
        <v>4.0999999999999996</v>
      </c>
      <c r="Y25" t="s">
        <v>71</v>
      </c>
      <c r="Z25">
        <v>750</v>
      </c>
      <c r="AA25" t="s">
        <v>44</v>
      </c>
      <c r="AB25">
        <v>14</v>
      </c>
      <c r="AC25">
        <v>2021</v>
      </c>
      <c r="AD25">
        <v>2028</v>
      </c>
    </row>
    <row r="26" spans="1:30">
      <c r="A26" t="s">
        <v>179</v>
      </c>
      <c r="B26" t="s">
        <v>180</v>
      </c>
      <c r="C26" t="s">
        <v>148</v>
      </c>
      <c r="D26" t="s">
        <v>756</v>
      </c>
      <c r="E26" t="s">
        <v>64</v>
      </c>
      <c r="F26">
        <v>2023</v>
      </c>
      <c r="G26" t="s">
        <v>88</v>
      </c>
      <c r="H26" t="s">
        <v>181</v>
      </c>
      <c r="I26">
        <v>13.6</v>
      </c>
      <c r="J26" t="s">
        <v>81</v>
      </c>
      <c r="K26" t="s">
        <v>37</v>
      </c>
      <c r="L26" t="s">
        <v>37</v>
      </c>
      <c r="M26" t="s">
        <v>59</v>
      </c>
      <c r="N26" t="s">
        <v>182</v>
      </c>
      <c r="O26" t="s">
        <v>91</v>
      </c>
      <c r="P26" s="3">
        <v>174.68</v>
      </c>
      <c r="Q26" s="3">
        <v>70.650000000000006</v>
      </c>
      <c r="R26" s="4">
        <f t="shared" si="0"/>
        <v>0.59554614151591478</v>
      </c>
      <c r="S26">
        <v>2</v>
      </c>
      <c r="T26">
        <v>12</v>
      </c>
      <c r="U26" s="3">
        <f t="shared" si="1"/>
        <v>349.36</v>
      </c>
      <c r="V26" t="s">
        <v>41</v>
      </c>
      <c r="W26" t="s">
        <v>42</v>
      </c>
      <c r="X26">
        <v>3.4</v>
      </c>
      <c r="Y26" t="s">
        <v>71</v>
      </c>
      <c r="Z26">
        <v>750</v>
      </c>
      <c r="AA26" t="s">
        <v>85</v>
      </c>
      <c r="AB26">
        <v>10</v>
      </c>
      <c r="AC26">
        <v>2028</v>
      </c>
      <c r="AD26">
        <v>2037</v>
      </c>
    </row>
    <row r="27" spans="1:30">
      <c r="A27" t="s">
        <v>183</v>
      </c>
      <c r="B27" t="s">
        <v>184</v>
      </c>
      <c r="C27" t="s">
        <v>132</v>
      </c>
      <c r="D27" t="s">
        <v>767</v>
      </c>
      <c r="E27" t="s">
        <v>185</v>
      </c>
      <c r="F27">
        <v>2005</v>
      </c>
      <c r="G27" t="s">
        <v>34</v>
      </c>
      <c r="H27" t="s">
        <v>96</v>
      </c>
      <c r="I27">
        <v>11</v>
      </c>
      <c r="J27" t="s">
        <v>36</v>
      </c>
      <c r="K27" t="s">
        <v>50</v>
      </c>
      <c r="L27" t="s">
        <v>59</v>
      </c>
      <c r="M27" t="s">
        <v>38</v>
      </c>
      <c r="N27" t="s">
        <v>39</v>
      </c>
      <c r="O27" t="s">
        <v>52</v>
      </c>
      <c r="P27" s="3">
        <v>173.32</v>
      </c>
      <c r="Q27" s="3">
        <v>78.78</v>
      </c>
      <c r="R27" s="4">
        <f t="shared" si="0"/>
        <v>0.54546503577198246</v>
      </c>
      <c r="S27">
        <v>24</v>
      </c>
      <c r="T27">
        <v>6</v>
      </c>
      <c r="U27" s="3">
        <f t="shared" si="1"/>
        <v>4159.68</v>
      </c>
      <c r="V27" t="s">
        <v>41</v>
      </c>
      <c r="W27" t="s">
        <v>107</v>
      </c>
      <c r="X27">
        <v>4.3</v>
      </c>
      <c r="Y27" t="s">
        <v>71</v>
      </c>
      <c r="Z27">
        <v>375</v>
      </c>
      <c r="AA27" t="s">
        <v>44</v>
      </c>
      <c r="AB27">
        <v>14</v>
      </c>
      <c r="AC27">
        <v>2022</v>
      </c>
      <c r="AD27">
        <v>2033</v>
      </c>
    </row>
    <row r="28" spans="1:30">
      <c r="A28" t="s">
        <v>186</v>
      </c>
      <c r="B28" t="s">
        <v>187</v>
      </c>
      <c r="C28" t="s">
        <v>94</v>
      </c>
      <c r="D28" t="s">
        <v>773</v>
      </c>
      <c r="E28" t="s">
        <v>188</v>
      </c>
      <c r="F28">
        <v>2024</v>
      </c>
      <c r="G28" t="s">
        <v>151</v>
      </c>
      <c r="H28" t="s">
        <v>80</v>
      </c>
      <c r="I28">
        <v>12.4</v>
      </c>
      <c r="J28" t="s">
        <v>36</v>
      </c>
      <c r="K28" t="s">
        <v>37</v>
      </c>
      <c r="L28" t="s">
        <v>37</v>
      </c>
      <c r="M28" t="s">
        <v>67</v>
      </c>
      <c r="N28" t="s">
        <v>189</v>
      </c>
      <c r="O28" t="s">
        <v>190</v>
      </c>
      <c r="P28" s="3">
        <v>138.51</v>
      </c>
      <c r="Q28" s="3">
        <v>66.52</v>
      </c>
      <c r="R28" s="4">
        <f t="shared" si="0"/>
        <v>0.51974586672442424</v>
      </c>
      <c r="S28">
        <v>36</v>
      </c>
      <c r="T28">
        <v>24</v>
      </c>
      <c r="U28" s="3">
        <f t="shared" si="1"/>
        <v>4986.3599999999997</v>
      </c>
      <c r="V28" t="s">
        <v>41</v>
      </c>
      <c r="W28" t="s">
        <v>42</v>
      </c>
      <c r="X28">
        <v>4.3</v>
      </c>
      <c r="Y28" t="s">
        <v>43</v>
      </c>
      <c r="Z28">
        <v>750</v>
      </c>
      <c r="AA28" t="s">
        <v>85</v>
      </c>
      <c r="AB28">
        <v>12</v>
      </c>
      <c r="AC28">
        <v>2024</v>
      </c>
      <c r="AD28">
        <v>2031</v>
      </c>
    </row>
    <row r="29" spans="1:30">
      <c r="A29" t="s">
        <v>191</v>
      </c>
      <c r="B29" t="s">
        <v>192</v>
      </c>
      <c r="C29" t="s">
        <v>132</v>
      </c>
      <c r="D29" t="s">
        <v>773</v>
      </c>
      <c r="E29" t="s">
        <v>48</v>
      </c>
      <c r="F29">
        <v>2001</v>
      </c>
      <c r="G29" t="s">
        <v>88</v>
      </c>
      <c r="H29" t="s">
        <v>193</v>
      </c>
      <c r="I29">
        <v>11.4</v>
      </c>
      <c r="J29" t="s">
        <v>36</v>
      </c>
      <c r="K29" t="s">
        <v>37</v>
      </c>
      <c r="L29" t="s">
        <v>37</v>
      </c>
      <c r="M29" t="s">
        <v>59</v>
      </c>
      <c r="N29" t="s">
        <v>194</v>
      </c>
      <c r="O29" t="s">
        <v>195</v>
      </c>
      <c r="P29" s="3">
        <v>390.45</v>
      </c>
      <c r="Q29" s="3">
        <v>228.55</v>
      </c>
      <c r="R29" s="4">
        <f t="shared" si="0"/>
        <v>0.41464976309386603</v>
      </c>
      <c r="S29">
        <v>2</v>
      </c>
      <c r="T29">
        <v>36</v>
      </c>
      <c r="U29" s="3">
        <f t="shared" si="1"/>
        <v>780.9</v>
      </c>
      <c r="V29" t="s">
        <v>41</v>
      </c>
      <c r="W29" t="s">
        <v>70</v>
      </c>
      <c r="X29">
        <v>4.9000000000000004</v>
      </c>
      <c r="Y29" t="s">
        <v>43</v>
      </c>
      <c r="Z29">
        <v>750</v>
      </c>
      <c r="AA29" t="s">
        <v>61</v>
      </c>
      <c r="AB29">
        <v>18</v>
      </c>
      <c r="AC29">
        <v>2026</v>
      </c>
      <c r="AD29">
        <v>2032</v>
      </c>
    </row>
    <row r="30" spans="1:30">
      <c r="A30" t="s">
        <v>196</v>
      </c>
      <c r="B30" t="s">
        <v>197</v>
      </c>
      <c r="C30" t="s">
        <v>132</v>
      </c>
      <c r="D30" t="s">
        <v>774</v>
      </c>
      <c r="E30" t="s">
        <v>165</v>
      </c>
      <c r="F30">
        <v>2011</v>
      </c>
      <c r="G30" t="s">
        <v>134</v>
      </c>
      <c r="H30" t="s">
        <v>143</v>
      </c>
      <c r="I30">
        <v>8</v>
      </c>
      <c r="J30" t="s">
        <v>136</v>
      </c>
      <c r="K30" t="s">
        <v>59</v>
      </c>
      <c r="L30" t="s">
        <v>37</v>
      </c>
      <c r="M30" t="s">
        <v>59</v>
      </c>
      <c r="N30" t="s">
        <v>198</v>
      </c>
      <c r="O30" t="s">
        <v>145</v>
      </c>
      <c r="P30" s="3">
        <v>208.34</v>
      </c>
      <c r="Q30" s="3">
        <v>122.45</v>
      </c>
      <c r="R30" s="4">
        <f t="shared" si="0"/>
        <v>0.41225880771815304</v>
      </c>
      <c r="S30">
        <v>12</v>
      </c>
      <c r="T30">
        <v>6</v>
      </c>
      <c r="U30" s="3">
        <f t="shared" si="1"/>
        <v>2500.08</v>
      </c>
      <c r="V30" t="s">
        <v>41</v>
      </c>
      <c r="W30" t="s">
        <v>42</v>
      </c>
      <c r="X30">
        <v>3.7</v>
      </c>
      <c r="Y30" t="s">
        <v>43</v>
      </c>
      <c r="Z30">
        <v>750</v>
      </c>
      <c r="AA30" t="s">
        <v>44</v>
      </c>
      <c r="AB30">
        <v>10</v>
      </c>
      <c r="AC30">
        <v>2028</v>
      </c>
      <c r="AD30">
        <v>2035</v>
      </c>
    </row>
    <row r="31" spans="1:30">
      <c r="A31" t="s">
        <v>199</v>
      </c>
      <c r="B31" t="s">
        <v>200</v>
      </c>
      <c r="C31" t="s">
        <v>74</v>
      </c>
      <c r="D31" t="s">
        <v>775</v>
      </c>
      <c r="E31" t="s">
        <v>33</v>
      </c>
      <c r="F31">
        <v>2011</v>
      </c>
      <c r="G31" t="s">
        <v>88</v>
      </c>
      <c r="H31" t="s">
        <v>89</v>
      </c>
      <c r="I31">
        <v>11.4</v>
      </c>
      <c r="J31" t="s">
        <v>36</v>
      </c>
      <c r="K31" t="s">
        <v>59</v>
      </c>
      <c r="L31" t="s">
        <v>37</v>
      </c>
      <c r="M31" t="s">
        <v>59</v>
      </c>
      <c r="N31" t="s">
        <v>178</v>
      </c>
      <c r="O31" t="s">
        <v>201</v>
      </c>
      <c r="P31" s="3">
        <v>170.67</v>
      </c>
      <c r="Q31" s="3">
        <v>67.86</v>
      </c>
      <c r="R31" s="4">
        <f t="shared" si="0"/>
        <v>0.60239057830901732</v>
      </c>
      <c r="S31">
        <v>1</v>
      </c>
      <c r="T31">
        <v>24</v>
      </c>
      <c r="U31" s="3">
        <f t="shared" si="1"/>
        <v>170.67</v>
      </c>
      <c r="V31" t="s">
        <v>41</v>
      </c>
      <c r="W31" t="s">
        <v>42</v>
      </c>
      <c r="X31">
        <v>4.3</v>
      </c>
      <c r="Y31" t="s">
        <v>43</v>
      </c>
      <c r="Z31">
        <v>750</v>
      </c>
      <c r="AA31" t="s">
        <v>61</v>
      </c>
      <c r="AB31">
        <v>12</v>
      </c>
      <c r="AC31">
        <v>2023</v>
      </c>
      <c r="AD31">
        <v>2028</v>
      </c>
    </row>
    <row r="32" spans="1:30">
      <c r="A32" t="s">
        <v>202</v>
      </c>
      <c r="B32" t="s">
        <v>203</v>
      </c>
      <c r="C32" t="s">
        <v>148</v>
      </c>
      <c r="D32" t="s">
        <v>770</v>
      </c>
      <c r="E32" t="s">
        <v>204</v>
      </c>
      <c r="F32">
        <v>2008</v>
      </c>
      <c r="G32" t="s">
        <v>34</v>
      </c>
      <c r="H32" t="s">
        <v>49</v>
      </c>
      <c r="I32">
        <v>13.8</v>
      </c>
      <c r="J32" t="s">
        <v>36</v>
      </c>
      <c r="K32" t="s">
        <v>50</v>
      </c>
      <c r="L32" t="s">
        <v>37</v>
      </c>
      <c r="M32" t="s">
        <v>38</v>
      </c>
      <c r="N32" t="s">
        <v>205</v>
      </c>
      <c r="O32" t="s">
        <v>118</v>
      </c>
      <c r="P32" s="3">
        <v>783.59</v>
      </c>
      <c r="Q32" s="3">
        <v>362.77</v>
      </c>
      <c r="R32" s="4">
        <f t="shared" si="0"/>
        <v>0.53704105463316276</v>
      </c>
      <c r="S32">
        <v>12</v>
      </c>
      <c r="T32">
        <v>12</v>
      </c>
      <c r="U32" s="3">
        <f t="shared" si="1"/>
        <v>9403.08</v>
      </c>
      <c r="V32" t="s">
        <v>41</v>
      </c>
      <c r="W32" t="s">
        <v>53</v>
      </c>
      <c r="X32">
        <v>4.9000000000000004</v>
      </c>
      <c r="Y32" t="s">
        <v>71</v>
      </c>
      <c r="Z32">
        <v>750</v>
      </c>
      <c r="AA32" t="s">
        <v>85</v>
      </c>
      <c r="AB32">
        <v>12</v>
      </c>
      <c r="AC32">
        <v>2024</v>
      </c>
      <c r="AD32">
        <v>2037</v>
      </c>
    </row>
    <row r="33" spans="1:30">
      <c r="A33" t="s">
        <v>206</v>
      </c>
      <c r="B33" t="s">
        <v>207</v>
      </c>
      <c r="C33" t="s">
        <v>94</v>
      </c>
      <c r="D33" t="s">
        <v>763</v>
      </c>
      <c r="E33" t="s">
        <v>122</v>
      </c>
      <c r="F33">
        <v>2006</v>
      </c>
      <c r="G33" t="s">
        <v>34</v>
      </c>
      <c r="H33" t="s">
        <v>111</v>
      </c>
      <c r="I33">
        <v>13.1</v>
      </c>
      <c r="J33" t="s">
        <v>36</v>
      </c>
      <c r="K33" t="s">
        <v>50</v>
      </c>
      <c r="L33" t="s">
        <v>59</v>
      </c>
      <c r="M33" t="s">
        <v>38</v>
      </c>
      <c r="N33" t="s">
        <v>106</v>
      </c>
      <c r="O33" t="s">
        <v>98</v>
      </c>
      <c r="P33" s="3">
        <v>80.010000000000005</v>
      </c>
      <c r="Q33" s="3">
        <v>30.15</v>
      </c>
      <c r="R33" s="4">
        <f t="shared" si="0"/>
        <v>0.6231721034870642</v>
      </c>
      <c r="S33">
        <v>1</v>
      </c>
      <c r="T33">
        <v>50</v>
      </c>
      <c r="U33" s="3">
        <f t="shared" si="1"/>
        <v>80.010000000000005</v>
      </c>
      <c r="V33" t="s">
        <v>41</v>
      </c>
      <c r="W33" t="s">
        <v>53</v>
      </c>
      <c r="X33">
        <v>4.5999999999999996</v>
      </c>
      <c r="Y33" t="s">
        <v>43</v>
      </c>
      <c r="Z33">
        <v>750</v>
      </c>
      <c r="AA33" t="s">
        <v>61</v>
      </c>
      <c r="AB33">
        <v>10</v>
      </c>
      <c r="AC33">
        <v>2028</v>
      </c>
      <c r="AD33">
        <v>2043</v>
      </c>
    </row>
    <row r="34" spans="1:30">
      <c r="A34" t="s">
        <v>208</v>
      </c>
      <c r="B34" t="s">
        <v>209</v>
      </c>
      <c r="C34" t="s">
        <v>148</v>
      </c>
      <c r="D34" t="s">
        <v>776</v>
      </c>
      <c r="E34" t="s">
        <v>210</v>
      </c>
      <c r="F34">
        <v>2008</v>
      </c>
      <c r="G34" t="s">
        <v>34</v>
      </c>
      <c r="H34" t="s">
        <v>211</v>
      </c>
      <c r="I34">
        <v>10.1</v>
      </c>
      <c r="J34" t="s">
        <v>36</v>
      </c>
      <c r="K34" t="s">
        <v>37</v>
      </c>
      <c r="L34" t="s">
        <v>37</v>
      </c>
      <c r="M34" t="s">
        <v>38</v>
      </c>
      <c r="N34" t="s">
        <v>212</v>
      </c>
      <c r="O34" t="s">
        <v>40</v>
      </c>
      <c r="P34" s="3">
        <v>31.03</v>
      </c>
      <c r="Q34" s="3">
        <v>14.04</v>
      </c>
      <c r="R34" s="4">
        <f t="shared" si="0"/>
        <v>0.54753464389300677</v>
      </c>
      <c r="S34">
        <v>1</v>
      </c>
      <c r="T34">
        <v>24</v>
      </c>
      <c r="U34" s="3">
        <f t="shared" si="1"/>
        <v>31.03</v>
      </c>
      <c r="V34" t="s">
        <v>41</v>
      </c>
      <c r="W34" t="s">
        <v>102</v>
      </c>
      <c r="X34">
        <v>3.2</v>
      </c>
      <c r="Y34" t="s">
        <v>43</v>
      </c>
      <c r="Z34">
        <v>750</v>
      </c>
      <c r="AA34" t="s">
        <v>61</v>
      </c>
      <c r="AB34">
        <v>14</v>
      </c>
      <c r="AC34">
        <v>2024</v>
      </c>
      <c r="AD34">
        <v>2039</v>
      </c>
    </row>
    <row r="35" spans="1:30">
      <c r="A35" t="s">
        <v>213</v>
      </c>
      <c r="B35" t="s">
        <v>214</v>
      </c>
      <c r="C35" t="s">
        <v>47</v>
      </c>
      <c r="D35" t="s">
        <v>771</v>
      </c>
      <c r="E35" t="s">
        <v>215</v>
      </c>
      <c r="F35">
        <v>2012</v>
      </c>
      <c r="G35" t="s">
        <v>34</v>
      </c>
      <c r="H35" t="s">
        <v>49</v>
      </c>
      <c r="I35">
        <v>9.6999999999999993</v>
      </c>
      <c r="J35" t="s">
        <v>81</v>
      </c>
      <c r="K35" t="s">
        <v>37</v>
      </c>
      <c r="L35" t="s">
        <v>50</v>
      </c>
      <c r="M35" t="s">
        <v>38</v>
      </c>
      <c r="N35" t="s">
        <v>216</v>
      </c>
      <c r="O35" t="s">
        <v>52</v>
      </c>
      <c r="P35" s="3">
        <v>217.17</v>
      </c>
      <c r="Q35" s="3">
        <v>133.74</v>
      </c>
      <c r="R35" s="4">
        <f t="shared" si="0"/>
        <v>0.38416908412764184</v>
      </c>
      <c r="S35">
        <v>350</v>
      </c>
      <c r="T35">
        <v>12</v>
      </c>
      <c r="U35" s="3">
        <f t="shared" si="1"/>
        <v>76009.5</v>
      </c>
      <c r="V35" t="s">
        <v>41</v>
      </c>
      <c r="W35" t="s">
        <v>70</v>
      </c>
      <c r="X35">
        <v>3.5</v>
      </c>
      <c r="Y35" t="s">
        <v>43</v>
      </c>
      <c r="Z35">
        <v>750</v>
      </c>
      <c r="AA35" t="s">
        <v>85</v>
      </c>
      <c r="AB35">
        <v>18</v>
      </c>
      <c r="AC35">
        <v>2028</v>
      </c>
      <c r="AD35">
        <v>2033</v>
      </c>
    </row>
    <row r="36" spans="1:30">
      <c r="A36" t="s">
        <v>217</v>
      </c>
      <c r="B36" t="s">
        <v>218</v>
      </c>
      <c r="C36" t="s">
        <v>47</v>
      </c>
      <c r="D36" t="s">
        <v>777</v>
      </c>
      <c r="E36" t="s">
        <v>219</v>
      </c>
      <c r="F36">
        <v>1999</v>
      </c>
      <c r="G36" t="s">
        <v>34</v>
      </c>
      <c r="H36" t="s">
        <v>66</v>
      </c>
      <c r="I36">
        <v>13.3</v>
      </c>
      <c r="J36" t="s">
        <v>36</v>
      </c>
      <c r="K36" t="s">
        <v>50</v>
      </c>
      <c r="L36" t="s">
        <v>37</v>
      </c>
      <c r="M36" t="s">
        <v>38</v>
      </c>
      <c r="N36" t="s">
        <v>220</v>
      </c>
      <c r="O36" t="s">
        <v>40</v>
      </c>
      <c r="P36" s="3">
        <v>167.56</v>
      </c>
      <c r="Q36" s="3">
        <v>87.41</v>
      </c>
      <c r="R36" s="4">
        <f t="shared" si="0"/>
        <v>0.47833611840534734</v>
      </c>
      <c r="S36">
        <v>72</v>
      </c>
      <c r="T36">
        <v>12</v>
      </c>
      <c r="U36" s="3">
        <f t="shared" si="1"/>
        <v>12064.32</v>
      </c>
      <c r="V36" t="s">
        <v>41</v>
      </c>
      <c r="W36" t="s">
        <v>53</v>
      </c>
      <c r="X36">
        <v>4.8</v>
      </c>
      <c r="Y36" t="s">
        <v>43</v>
      </c>
      <c r="Z36">
        <v>375</v>
      </c>
      <c r="AA36" t="s">
        <v>44</v>
      </c>
      <c r="AB36">
        <v>10</v>
      </c>
      <c r="AC36">
        <v>2022</v>
      </c>
      <c r="AD36">
        <v>2026</v>
      </c>
    </row>
    <row r="37" spans="1:30">
      <c r="A37" t="s">
        <v>221</v>
      </c>
      <c r="B37" t="s">
        <v>222</v>
      </c>
      <c r="C37" t="s">
        <v>56</v>
      </c>
      <c r="D37" t="s">
        <v>778</v>
      </c>
      <c r="E37" t="s">
        <v>116</v>
      </c>
      <c r="F37">
        <v>2011</v>
      </c>
      <c r="G37" t="s">
        <v>34</v>
      </c>
      <c r="H37" t="s">
        <v>111</v>
      </c>
      <c r="I37">
        <v>15.5</v>
      </c>
      <c r="J37" t="s">
        <v>36</v>
      </c>
      <c r="K37" t="s">
        <v>37</v>
      </c>
      <c r="L37" t="s">
        <v>59</v>
      </c>
      <c r="M37" t="s">
        <v>38</v>
      </c>
      <c r="N37" t="s">
        <v>223</v>
      </c>
      <c r="O37" t="s">
        <v>40</v>
      </c>
      <c r="P37" s="3">
        <v>323.92</v>
      </c>
      <c r="Q37" s="3">
        <v>137.04</v>
      </c>
      <c r="R37" s="4">
        <f t="shared" si="0"/>
        <v>0.57693257594467773</v>
      </c>
      <c r="S37">
        <v>3</v>
      </c>
      <c r="T37">
        <v>24</v>
      </c>
      <c r="U37" s="3">
        <f t="shared" si="1"/>
        <v>971.76</v>
      </c>
      <c r="V37" t="s">
        <v>41</v>
      </c>
      <c r="W37" t="s">
        <v>53</v>
      </c>
      <c r="X37">
        <v>4.2</v>
      </c>
      <c r="Y37" t="s">
        <v>43</v>
      </c>
      <c r="Z37">
        <v>375</v>
      </c>
      <c r="AA37" t="s">
        <v>44</v>
      </c>
      <c r="AB37">
        <v>18</v>
      </c>
      <c r="AC37">
        <v>2024</v>
      </c>
      <c r="AD37">
        <v>2032</v>
      </c>
    </row>
    <row r="38" spans="1:30">
      <c r="A38" t="s">
        <v>224</v>
      </c>
      <c r="B38" t="s">
        <v>225</v>
      </c>
      <c r="C38" t="s">
        <v>177</v>
      </c>
      <c r="D38" t="s">
        <v>779</v>
      </c>
      <c r="E38" t="s">
        <v>142</v>
      </c>
      <c r="F38">
        <v>2023</v>
      </c>
      <c r="G38" t="s">
        <v>34</v>
      </c>
      <c r="H38" t="s">
        <v>49</v>
      </c>
      <c r="I38">
        <v>14.2</v>
      </c>
      <c r="J38" t="s">
        <v>81</v>
      </c>
      <c r="K38" t="s">
        <v>37</v>
      </c>
      <c r="L38" t="s">
        <v>37</v>
      </c>
      <c r="M38" t="s">
        <v>38</v>
      </c>
      <c r="N38" t="s">
        <v>39</v>
      </c>
      <c r="O38" t="s">
        <v>40</v>
      </c>
      <c r="P38" s="3">
        <v>241.72</v>
      </c>
      <c r="Q38" s="3">
        <v>164.11</v>
      </c>
      <c r="R38" s="4">
        <f t="shared" si="0"/>
        <v>0.32107396988250864</v>
      </c>
      <c r="S38">
        <v>1000</v>
      </c>
      <c r="T38">
        <v>24</v>
      </c>
      <c r="U38" s="3">
        <f t="shared" si="1"/>
        <v>241720</v>
      </c>
      <c r="V38" t="s">
        <v>41</v>
      </c>
      <c r="W38" t="s">
        <v>107</v>
      </c>
      <c r="X38">
        <v>4.2</v>
      </c>
      <c r="Y38" t="s">
        <v>43</v>
      </c>
      <c r="Z38">
        <v>750</v>
      </c>
      <c r="AA38" t="s">
        <v>61</v>
      </c>
      <c r="AB38">
        <v>12</v>
      </c>
      <c r="AC38">
        <v>2021</v>
      </c>
      <c r="AD38">
        <v>2033</v>
      </c>
    </row>
    <row r="39" spans="1:30">
      <c r="A39" t="s">
        <v>226</v>
      </c>
      <c r="B39" t="s">
        <v>227</v>
      </c>
      <c r="C39" t="s">
        <v>115</v>
      </c>
      <c r="D39" t="s">
        <v>777</v>
      </c>
      <c r="E39" t="s">
        <v>228</v>
      </c>
      <c r="F39">
        <v>2013</v>
      </c>
      <c r="G39" t="s">
        <v>65</v>
      </c>
      <c r="H39" t="s">
        <v>211</v>
      </c>
      <c r="I39">
        <v>15.5</v>
      </c>
      <c r="J39" t="s">
        <v>36</v>
      </c>
      <c r="K39" t="s">
        <v>59</v>
      </c>
      <c r="L39" t="s">
        <v>37</v>
      </c>
      <c r="M39" t="s">
        <v>67</v>
      </c>
      <c r="N39" t="s">
        <v>229</v>
      </c>
      <c r="O39" t="s">
        <v>230</v>
      </c>
      <c r="P39" s="3">
        <v>166.77</v>
      </c>
      <c r="Q39" s="3">
        <v>65.23</v>
      </c>
      <c r="R39" s="4">
        <f t="shared" si="0"/>
        <v>0.60886250524674701</v>
      </c>
      <c r="S39">
        <v>5</v>
      </c>
      <c r="T39">
        <v>24</v>
      </c>
      <c r="U39" s="3">
        <f t="shared" si="1"/>
        <v>833.85</v>
      </c>
      <c r="V39" t="s">
        <v>77</v>
      </c>
      <c r="W39" t="s">
        <v>70</v>
      </c>
      <c r="X39">
        <v>3.9</v>
      </c>
      <c r="Y39" t="s">
        <v>43</v>
      </c>
      <c r="Z39">
        <v>750</v>
      </c>
      <c r="AA39" t="s">
        <v>44</v>
      </c>
      <c r="AB39">
        <v>12</v>
      </c>
      <c r="AC39">
        <v>2026</v>
      </c>
      <c r="AD39">
        <v>2039</v>
      </c>
    </row>
    <row r="40" spans="1:30">
      <c r="A40" t="s">
        <v>231</v>
      </c>
      <c r="B40" t="s">
        <v>232</v>
      </c>
      <c r="C40" t="s">
        <v>148</v>
      </c>
      <c r="D40" t="s">
        <v>772</v>
      </c>
      <c r="E40" t="s">
        <v>233</v>
      </c>
      <c r="F40">
        <v>2013</v>
      </c>
      <c r="G40" t="s">
        <v>88</v>
      </c>
      <c r="H40" t="s">
        <v>193</v>
      </c>
      <c r="I40">
        <v>7.8</v>
      </c>
      <c r="J40" t="s">
        <v>81</v>
      </c>
      <c r="K40" t="s">
        <v>59</v>
      </c>
      <c r="L40" t="s">
        <v>37</v>
      </c>
      <c r="M40" t="s">
        <v>59</v>
      </c>
      <c r="N40" t="s">
        <v>234</v>
      </c>
      <c r="O40" t="s">
        <v>91</v>
      </c>
      <c r="P40" s="3">
        <v>47.86</v>
      </c>
      <c r="Q40" s="3">
        <v>22.05</v>
      </c>
      <c r="R40" s="4">
        <f t="shared" si="0"/>
        <v>0.5392812369410781</v>
      </c>
      <c r="S40">
        <v>36</v>
      </c>
      <c r="T40">
        <v>12</v>
      </c>
      <c r="U40" s="3">
        <f t="shared" si="1"/>
        <v>1722.96</v>
      </c>
      <c r="V40" t="s">
        <v>77</v>
      </c>
      <c r="W40" t="s">
        <v>53</v>
      </c>
      <c r="X40">
        <v>3.5</v>
      </c>
      <c r="Y40" t="s">
        <v>43</v>
      </c>
      <c r="Z40">
        <v>750</v>
      </c>
      <c r="AA40" t="s">
        <v>44</v>
      </c>
      <c r="AB40">
        <v>18</v>
      </c>
      <c r="AC40">
        <v>2028</v>
      </c>
      <c r="AD40">
        <v>2034</v>
      </c>
    </row>
    <row r="41" spans="1:30">
      <c r="A41" t="s">
        <v>235</v>
      </c>
      <c r="B41" t="s">
        <v>236</v>
      </c>
      <c r="C41" t="s">
        <v>56</v>
      </c>
      <c r="D41" t="s">
        <v>756</v>
      </c>
      <c r="E41" t="s">
        <v>237</v>
      </c>
      <c r="F41">
        <v>2003</v>
      </c>
      <c r="G41" t="s">
        <v>88</v>
      </c>
      <c r="H41" t="s">
        <v>135</v>
      </c>
      <c r="I41">
        <v>15.1</v>
      </c>
      <c r="J41" t="s">
        <v>36</v>
      </c>
      <c r="K41" t="s">
        <v>50</v>
      </c>
      <c r="L41" t="s">
        <v>37</v>
      </c>
      <c r="M41" t="s">
        <v>59</v>
      </c>
      <c r="N41" t="s">
        <v>162</v>
      </c>
      <c r="O41" t="s">
        <v>125</v>
      </c>
      <c r="P41" s="3">
        <v>107.42</v>
      </c>
      <c r="Q41" s="3">
        <v>44.64</v>
      </c>
      <c r="R41" s="4">
        <f t="shared" si="0"/>
        <v>0.58443492831874888</v>
      </c>
      <c r="S41">
        <v>12</v>
      </c>
      <c r="T41">
        <v>24</v>
      </c>
      <c r="U41" s="3">
        <f t="shared" si="1"/>
        <v>1289.04</v>
      </c>
      <c r="V41" t="s">
        <v>77</v>
      </c>
      <c r="W41" t="s">
        <v>42</v>
      </c>
      <c r="X41">
        <v>3.2</v>
      </c>
      <c r="Y41" t="s">
        <v>43</v>
      </c>
      <c r="Z41">
        <v>750</v>
      </c>
      <c r="AA41" t="s">
        <v>61</v>
      </c>
      <c r="AB41">
        <v>18</v>
      </c>
      <c r="AC41">
        <v>2026</v>
      </c>
      <c r="AD41">
        <v>2038</v>
      </c>
    </row>
    <row r="42" spans="1:30">
      <c r="A42" t="s">
        <v>238</v>
      </c>
      <c r="B42" t="s">
        <v>239</v>
      </c>
      <c r="C42" t="s">
        <v>115</v>
      </c>
      <c r="D42" t="s">
        <v>765</v>
      </c>
      <c r="E42" t="s">
        <v>133</v>
      </c>
      <c r="F42">
        <v>2005</v>
      </c>
      <c r="G42" t="s">
        <v>65</v>
      </c>
      <c r="H42" t="s">
        <v>66</v>
      </c>
      <c r="I42">
        <v>15.8</v>
      </c>
      <c r="J42" t="s">
        <v>36</v>
      </c>
      <c r="K42" t="s">
        <v>50</v>
      </c>
      <c r="L42" t="s">
        <v>37</v>
      </c>
      <c r="M42" t="s">
        <v>67</v>
      </c>
      <c r="N42" t="s">
        <v>68</v>
      </c>
      <c r="O42" t="s">
        <v>230</v>
      </c>
      <c r="P42" s="3">
        <v>306.01</v>
      </c>
      <c r="Q42" s="3">
        <v>155.06</v>
      </c>
      <c r="R42" s="4">
        <f t="shared" si="0"/>
        <v>0.49328453318519</v>
      </c>
      <c r="S42">
        <v>120</v>
      </c>
      <c r="T42">
        <v>24</v>
      </c>
      <c r="U42" s="3">
        <f t="shared" si="1"/>
        <v>36721.199999999997</v>
      </c>
      <c r="V42" t="s">
        <v>41</v>
      </c>
      <c r="W42" t="s">
        <v>70</v>
      </c>
      <c r="X42">
        <v>3.8</v>
      </c>
      <c r="Y42" t="s">
        <v>43</v>
      </c>
      <c r="Z42">
        <v>750</v>
      </c>
      <c r="AA42" t="s">
        <v>85</v>
      </c>
      <c r="AB42">
        <v>14</v>
      </c>
      <c r="AC42">
        <v>2025</v>
      </c>
      <c r="AD42">
        <v>2034</v>
      </c>
    </row>
    <row r="43" spans="1:30">
      <c r="A43" t="s">
        <v>240</v>
      </c>
      <c r="B43" t="s">
        <v>241</v>
      </c>
      <c r="C43" t="s">
        <v>177</v>
      </c>
      <c r="D43" t="s">
        <v>780</v>
      </c>
      <c r="E43" t="s">
        <v>142</v>
      </c>
      <c r="F43">
        <v>2019</v>
      </c>
      <c r="G43" t="s">
        <v>34</v>
      </c>
      <c r="H43" t="s">
        <v>242</v>
      </c>
      <c r="I43">
        <v>13.4</v>
      </c>
      <c r="J43" t="s">
        <v>36</v>
      </c>
      <c r="K43" t="s">
        <v>50</v>
      </c>
      <c r="L43" t="s">
        <v>37</v>
      </c>
      <c r="M43" t="s">
        <v>38</v>
      </c>
      <c r="N43" t="s">
        <v>243</v>
      </c>
      <c r="O43" t="s">
        <v>52</v>
      </c>
      <c r="P43" s="3">
        <v>132.12</v>
      </c>
      <c r="Q43" s="3">
        <v>75.819999999999993</v>
      </c>
      <c r="R43" s="4">
        <f t="shared" si="0"/>
        <v>0.42612776264002428</v>
      </c>
      <c r="S43">
        <v>1000</v>
      </c>
      <c r="T43">
        <v>12</v>
      </c>
      <c r="U43" s="3">
        <f t="shared" si="1"/>
        <v>132120</v>
      </c>
      <c r="V43" t="s">
        <v>41</v>
      </c>
      <c r="W43" t="s">
        <v>42</v>
      </c>
      <c r="X43">
        <v>3.4</v>
      </c>
      <c r="Y43" t="s">
        <v>43</v>
      </c>
      <c r="Z43">
        <v>750</v>
      </c>
      <c r="AA43" t="s">
        <v>61</v>
      </c>
      <c r="AB43">
        <v>14</v>
      </c>
      <c r="AC43">
        <v>2022</v>
      </c>
      <c r="AD43">
        <v>2028</v>
      </c>
    </row>
    <row r="44" spans="1:30">
      <c r="A44" t="s">
        <v>244</v>
      </c>
      <c r="B44" t="s">
        <v>245</v>
      </c>
      <c r="C44" t="s">
        <v>56</v>
      </c>
      <c r="D44" t="s">
        <v>781</v>
      </c>
      <c r="E44" t="s">
        <v>101</v>
      </c>
      <c r="F44">
        <v>2021</v>
      </c>
      <c r="G44" t="s">
        <v>34</v>
      </c>
      <c r="H44" t="s">
        <v>49</v>
      </c>
      <c r="I44">
        <v>7.5</v>
      </c>
      <c r="J44" t="s">
        <v>36</v>
      </c>
      <c r="K44" t="s">
        <v>50</v>
      </c>
      <c r="L44" t="s">
        <v>59</v>
      </c>
      <c r="M44" t="s">
        <v>38</v>
      </c>
      <c r="N44" t="s">
        <v>246</v>
      </c>
      <c r="O44" t="s">
        <v>98</v>
      </c>
      <c r="P44" s="3">
        <v>212.94</v>
      </c>
      <c r="Q44" s="3">
        <v>113.42</v>
      </c>
      <c r="R44" s="4">
        <f t="shared" si="0"/>
        <v>0.46736169813092887</v>
      </c>
      <c r="S44">
        <v>350</v>
      </c>
      <c r="T44">
        <v>6</v>
      </c>
      <c r="U44" s="3">
        <f t="shared" si="1"/>
        <v>74529</v>
      </c>
      <c r="V44" t="s">
        <v>41</v>
      </c>
      <c r="W44" t="s">
        <v>70</v>
      </c>
      <c r="X44">
        <v>4.7</v>
      </c>
      <c r="Y44" t="s">
        <v>43</v>
      </c>
      <c r="Z44">
        <v>375</v>
      </c>
      <c r="AA44" t="s">
        <v>61</v>
      </c>
      <c r="AB44">
        <v>18</v>
      </c>
      <c r="AC44">
        <v>2027</v>
      </c>
      <c r="AD44">
        <v>2030</v>
      </c>
    </row>
    <row r="45" spans="1:30">
      <c r="A45" t="s">
        <v>247</v>
      </c>
      <c r="B45" t="s">
        <v>248</v>
      </c>
      <c r="C45" t="s">
        <v>94</v>
      </c>
      <c r="D45" t="s">
        <v>782</v>
      </c>
      <c r="E45" t="s">
        <v>249</v>
      </c>
      <c r="F45">
        <v>2024</v>
      </c>
      <c r="G45" t="s">
        <v>34</v>
      </c>
      <c r="H45" t="s">
        <v>58</v>
      </c>
      <c r="I45">
        <v>7</v>
      </c>
      <c r="J45" t="s">
        <v>36</v>
      </c>
      <c r="K45" t="s">
        <v>37</v>
      </c>
      <c r="L45" t="s">
        <v>37</v>
      </c>
      <c r="M45" t="s">
        <v>38</v>
      </c>
      <c r="N45" t="s">
        <v>250</v>
      </c>
      <c r="O45" t="s">
        <v>52</v>
      </c>
      <c r="P45" s="3">
        <v>231.41</v>
      </c>
      <c r="Q45" s="3">
        <v>101.68</v>
      </c>
      <c r="R45" s="4">
        <f t="shared" si="0"/>
        <v>0.56060671535370121</v>
      </c>
      <c r="S45">
        <v>2</v>
      </c>
      <c r="T45">
        <v>6</v>
      </c>
      <c r="U45" s="3">
        <f t="shared" si="1"/>
        <v>462.82</v>
      </c>
      <c r="V45" t="s">
        <v>41</v>
      </c>
      <c r="W45" t="s">
        <v>107</v>
      </c>
      <c r="X45">
        <v>3.6</v>
      </c>
      <c r="Y45" t="s">
        <v>43</v>
      </c>
      <c r="Z45">
        <v>750</v>
      </c>
      <c r="AA45" t="s">
        <v>44</v>
      </c>
      <c r="AB45">
        <v>14</v>
      </c>
      <c r="AC45">
        <v>2025</v>
      </c>
      <c r="AD45">
        <v>2040</v>
      </c>
    </row>
    <row r="46" spans="1:30">
      <c r="A46" t="s">
        <v>251</v>
      </c>
      <c r="B46" t="s">
        <v>252</v>
      </c>
      <c r="C46" t="s">
        <v>94</v>
      </c>
      <c r="D46" t="s">
        <v>761</v>
      </c>
      <c r="E46" t="s">
        <v>48</v>
      </c>
      <c r="F46">
        <v>2014</v>
      </c>
      <c r="G46" t="s">
        <v>88</v>
      </c>
      <c r="H46" t="s">
        <v>161</v>
      </c>
      <c r="I46">
        <v>8.8000000000000007</v>
      </c>
      <c r="J46" t="s">
        <v>36</v>
      </c>
      <c r="K46" t="s">
        <v>50</v>
      </c>
      <c r="L46" t="s">
        <v>37</v>
      </c>
      <c r="M46" t="s">
        <v>59</v>
      </c>
      <c r="N46" t="s">
        <v>253</v>
      </c>
      <c r="O46" t="s">
        <v>125</v>
      </c>
      <c r="P46" s="3">
        <v>95.2</v>
      </c>
      <c r="Q46" s="3">
        <v>35.28</v>
      </c>
      <c r="R46" s="4">
        <f t="shared" si="0"/>
        <v>0.62941176470588234</v>
      </c>
      <c r="S46">
        <v>12</v>
      </c>
      <c r="T46">
        <v>24</v>
      </c>
      <c r="U46" s="3">
        <f t="shared" si="1"/>
        <v>1142.4000000000001</v>
      </c>
      <c r="V46" t="s">
        <v>41</v>
      </c>
      <c r="W46" t="s">
        <v>70</v>
      </c>
      <c r="X46">
        <v>4.8</v>
      </c>
      <c r="Y46" t="s">
        <v>43</v>
      </c>
      <c r="Z46">
        <v>750</v>
      </c>
      <c r="AA46" t="s">
        <v>85</v>
      </c>
      <c r="AB46">
        <v>14</v>
      </c>
      <c r="AC46">
        <v>2021</v>
      </c>
      <c r="AD46">
        <v>2024</v>
      </c>
    </row>
    <row r="47" spans="1:30">
      <c r="A47" t="s">
        <v>254</v>
      </c>
      <c r="B47" t="s">
        <v>255</v>
      </c>
      <c r="C47" t="s">
        <v>32</v>
      </c>
      <c r="D47" t="s">
        <v>778</v>
      </c>
      <c r="E47" t="s">
        <v>237</v>
      </c>
      <c r="F47">
        <v>2000</v>
      </c>
      <c r="G47" t="s">
        <v>134</v>
      </c>
      <c r="H47" t="s">
        <v>135</v>
      </c>
      <c r="I47">
        <v>12.9</v>
      </c>
      <c r="J47" t="s">
        <v>136</v>
      </c>
      <c r="K47" t="s">
        <v>37</v>
      </c>
      <c r="L47" t="s">
        <v>37</v>
      </c>
      <c r="M47" t="s">
        <v>59</v>
      </c>
      <c r="N47" t="s">
        <v>256</v>
      </c>
      <c r="O47" t="s">
        <v>257</v>
      </c>
      <c r="P47" s="3">
        <v>1633.81</v>
      </c>
      <c r="Q47" s="3">
        <v>644.33000000000004</v>
      </c>
      <c r="R47" s="4">
        <f t="shared" si="0"/>
        <v>0.60562733732808582</v>
      </c>
      <c r="S47">
        <v>3</v>
      </c>
      <c r="T47">
        <v>36</v>
      </c>
      <c r="U47" s="3">
        <f t="shared" si="1"/>
        <v>4901.43</v>
      </c>
      <c r="V47" t="s">
        <v>41</v>
      </c>
      <c r="W47" t="s">
        <v>70</v>
      </c>
      <c r="X47">
        <v>4.5</v>
      </c>
      <c r="Y47" t="s">
        <v>43</v>
      </c>
      <c r="Z47">
        <v>750</v>
      </c>
      <c r="AA47" t="s">
        <v>61</v>
      </c>
      <c r="AB47">
        <v>12</v>
      </c>
      <c r="AC47">
        <v>2028</v>
      </c>
      <c r="AD47">
        <v>2037</v>
      </c>
    </row>
    <row r="48" spans="1:30">
      <c r="A48" t="s">
        <v>258</v>
      </c>
      <c r="B48" t="s">
        <v>259</v>
      </c>
      <c r="C48" t="s">
        <v>141</v>
      </c>
      <c r="D48" t="s">
        <v>783</v>
      </c>
      <c r="E48" t="s">
        <v>260</v>
      </c>
      <c r="F48">
        <v>2008</v>
      </c>
      <c r="G48" t="s">
        <v>34</v>
      </c>
      <c r="H48" t="s">
        <v>49</v>
      </c>
      <c r="I48">
        <v>8.6999999999999993</v>
      </c>
      <c r="J48" t="s">
        <v>36</v>
      </c>
      <c r="K48" t="s">
        <v>59</v>
      </c>
      <c r="L48" t="s">
        <v>37</v>
      </c>
      <c r="M48" t="s">
        <v>38</v>
      </c>
      <c r="N48" t="s">
        <v>205</v>
      </c>
      <c r="O48" t="s">
        <v>118</v>
      </c>
      <c r="P48" s="3">
        <v>277.13</v>
      </c>
      <c r="Q48" s="3">
        <v>149.4</v>
      </c>
      <c r="R48" s="4">
        <f t="shared" si="0"/>
        <v>0.46090282538880667</v>
      </c>
      <c r="S48">
        <v>1</v>
      </c>
      <c r="T48">
        <v>6</v>
      </c>
      <c r="U48" s="3">
        <f t="shared" si="1"/>
        <v>277.13</v>
      </c>
      <c r="V48" t="s">
        <v>77</v>
      </c>
      <c r="W48" t="s">
        <v>107</v>
      </c>
      <c r="X48">
        <v>3.4</v>
      </c>
      <c r="Y48" t="s">
        <v>43</v>
      </c>
      <c r="Z48">
        <v>750</v>
      </c>
      <c r="AA48" t="s">
        <v>61</v>
      </c>
      <c r="AB48">
        <v>18</v>
      </c>
      <c r="AC48">
        <v>2028</v>
      </c>
      <c r="AD48">
        <v>2031</v>
      </c>
    </row>
    <row r="49" spans="1:30">
      <c r="A49" t="s">
        <v>261</v>
      </c>
      <c r="B49" t="s">
        <v>262</v>
      </c>
      <c r="C49" t="s">
        <v>177</v>
      </c>
      <c r="D49" t="s">
        <v>756</v>
      </c>
      <c r="E49" t="s">
        <v>263</v>
      </c>
      <c r="F49">
        <v>2001</v>
      </c>
      <c r="G49" t="s">
        <v>34</v>
      </c>
      <c r="H49" t="s">
        <v>111</v>
      </c>
      <c r="I49">
        <v>8</v>
      </c>
      <c r="J49" t="s">
        <v>36</v>
      </c>
      <c r="K49" t="s">
        <v>59</v>
      </c>
      <c r="L49" t="s">
        <v>59</v>
      </c>
      <c r="M49" t="s">
        <v>38</v>
      </c>
      <c r="N49" t="s">
        <v>205</v>
      </c>
      <c r="O49" t="s">
        <v>98</v>
      </c>
      <c r="P49" s="3">
        <v>215.03</v>
      </c>
      <c r="Q49" s="3">
        <v>135.83000000000001</v>
      </c>
      <c r="R49" s="4">
        <f t="shared" si="0"/>
        <v>0.36832069943728779</v>
      </c>
      <c r="S49">
        <v>600</v>
      </c>
      <c r="T49">
        <v>36</v>
      </c>
      <c r="U49" s="3">
        <f t="shared" si="1"/>
        <v>129018</v>
      </c>
      <c r="V49" t="s">
        <v>77</v>
      </c>
      <c r="W49" t="s">
        <v>70</v>
      </c>
      <c r="X49">
        <v>4.4000000000000004</v>
      </c>
      <c r="Y49" t="s">
        <v>71</v>
      </c>
      <c r="Z49">
        <v>750</v>
      </c>
      <c r="AA49" t="s">
        <v>44</v>
      </c>
      <c r="AB49">
        <v>16</v>
      </c>
      <c r="AC49">
        <v>2027</v>
      </c>
      <c r="AD49">
        <v>2037</v>
      </c>
    </row>
    <row r="50" spans="1:30">
      <c r="A50" t="s">
        <v>264</v>
      </c>
      <c r="B50" t="s">
        <v>265</v>
      </c>
      <c r="C50" t="s">
        <v>74</v>
      </c>
      <c r="D50" t="s">
        <v>784</v>
      </c>
      <c r="E50" t="s">
        <v>260</v>
      </c>
      <c r="F50">
        <v>2006</v>
      </c>
      <c r="G50" t="s">
        <v>34</v>
      </c>
      <c r="H50" t="s">
        <v>111</v>
      </c>
      <c r="I50">
        <v>12.8</v>
      </c>
      <c r="J50" t="s">
        <v>36</v>
      </c>
      <c r="K50" t="s">
        <v>59</v>
      </c>
      <c r="L50" t="s">
        <v>37</v>
      </c>
      <c r="M50" t="s">
        <v>38</v>
      </c>
      <c r="N50" t="s">
        <v>216</v>
      </c>
      <c r="O50" t="s">
        <v>98</v>
      </c>
      <c r="P50" s="3">
        <v>133.91</v>
      </c>
      <c r="Q50" s="3">
        <v>65.94</v>
      </c>
      <c r="R50" s="4">
        <f t="shared" si="0"/>
        <v>0.5075797177208573</v>
      </c>
      <c r="S50">
        <v>8</v>
      </c>
      <c r="T50">
        <v>50</v>
      </c>
      <c r="U50" s="3">
        <f t="shared" si="1"/>
        <v>1071.28</v>
      </c>
      <c r="V50" t="s">
        <v>77</v>
      </c>
      <c r="W50" t="s">
        <v>70</v>
      </c>
      <c r="X50">
        <v>4.3</v>
      </c>
      <c r="Y50" t="s">
        <v>43</v>
      </c>
      <c r="Z50">
        <v>750</v>
      </c>
      <c r="AA50" t="s">
        <v>61</v>
      </c>
      <c r="AB50">
        <v>16</v>
      </c>
      <c r="AC50">
        <v>2025</v>
      </c>
      <c r="AD50">
        <v>2039</v>
      </c>
    </row>
    <row r="51" spans="1:30">
      <c r="A51" t="s">
        <v>266</v>
      </c>
      <c r="B51" t="s">
        <v>267</v>
      </c>
      <c r="C51" t="s">
        <v>132</v>
      </c>
      <c r="D51" t="s">
        <v>755</v>
      </c>
      <c r="E51" t="s">
        <v>268</v>
      </c>
      <c r="F51">
        <v>2014</v>
      </c>
      <c r="G51" t="s">
        <v>65</v>
      </c>
      <c r="H51" t="s">
        <v>211</v>
      </c>
      <c r="I51">
        <v>14.4</v>
      </c>
      <c r="J51" t="s">
        <v>36</v>
      </c>
      <c r="K51" t="s">
        <v>37</v>
      </c>
      <c r="L51" t="s">
        <v>37</v>
      </c>
      <c r="M51" t="s">
        <v>67</v>
      </c>
      <c r="N51" t="s">
        <v>269</v>
      </c>
      <c r="O51" t="s">
        <v>69</v>
      </c>
      <c r="P51" s="3">
        <v>167.15</v>
      </c>
      <c r="Q51" s="3">
        <v>81.180000000000007</v>
      </c>
      <c r="R51" s="4">
        <f t="shared" si="0"/>
        <v>0.51432844750224349</v>
      </c>
      <c r="S51">
        <v>48</v>
      </c>
      <c r="T51">
        <v>12</v>
      </c>
      <c r="U51" s="3">
        <f t="shared" si="1"/>
        <v>8023.2000000000007</v>
      </c>
      <c r="V51" t="s">
        <v>77</v>
      </c>
      <c r="W51" t="s">
        <v>102</v>
      </c>
      <c r="X51">
        <v>4.5</v>
      </c>
      <c r="Y51" t="s">
        <v>71</v>
      </c>
      <c r="Z51">
        <v>750</v>
      </c>
      <c r="AA51" t="s">
        <v>85</v>
      </c>
      <c r="AB51">
        <v>12</v>
      </c>
      <c r="AC51">
        <v>2021</v>
      </c>
      <c r="AD51">
        <v>2031</v>
      </c>
    </row>
    <row r="52" spans="1:30">
      <c r="A52" t="s">
        <v>270</v>
      </c>
      <c r="B52" t="s">
        <v>271</v>
      </c>
      <c r="C52" t="s">
        <v>47</v>
      </c>
      <c r="D52" t="s">
        <v>754</v>
      </c>
      <c r="E52" t="s">
        <v>101</v>
      </c>
      <c r="F52">
        <v>2005</v>
      </c>
      <c r="G52" t="s">
        <v>88</v>
      </c>
      <c r="H52" t="s">
        <v>161</v>
      </c>
      <c r="I52">
        <v>8</v>
      </c>
      <c r="J52" t="s">
        <v>36</v>
      </c>
      <c r="K52" t="s">
        <v>37</v>
      </c>
      <c r="L52" t="s">
        <v>37</v>
      </c>
      <c r="M52" t="s">
        <v>59</v>
      </c>
      <c r="N52" t="s">
        <v>162</v>
      </c>
      <c r="O52" t="s">
        <v>201</v>
      </c>
      <c r="P52" s="3">
        <v>1376.61</v>
      </c>
      <c r="Q52" s="3">
        <v>540.63</v>
      </c>
      <c r="R52" s="4">
        <f t="shared" si="0"/>
        <v>0.6072743914398413</v>
      </c>
      <c r="S52">
        <v>600</v>
      </c>
      <c r="T52">
        <v>36</v>
      </c>
      <c r="U52" s="3">
        <f t="shared" si="1"/>
        <v>825965.99999999988</v>
      </c>
      <c r="V52" t="s">
        <v>41</v>
      </c>
      <c r="W52" t="s">
        <v>107</v>
      </c>
      <c r="X52">
        <v>4.3</v>
      </c>
      <c r="Y52" t="s">
        <v>43</v>
      </c>
      <c r="Z52">
        <v>750</v>
      </c>
      <c r="AA52" t="s">
        <v>44</v>
      </c>
      <c r="AB52">
        <v>16</v>
      </c>
      <c r="AC52">
        <v>2022</v>
      </c>
      <c r="AD52">
        <v>2028</v>
      </c>
    </row>
    <row r="53" spans="1:30">
      <c r="A53" t="s">
        <v>272</v>
      </c>
      <c r="B53" t="s">
        <v>273</v>
      </c>
      <c r="C53" t="s">
        <v>47</v>
      </c>
      <c r="D53" t="s">
        <v>782</v>
      </c>
      <c r="E53" t="s">
        <v>274</v>
      </c>
      <c r="F53">
        <v>2019</v>
      </c>
      <c r="G53" t="s">
        <v>65</v>
      </c>
      <c r="H53" t="s">
        <v>211</v>
      </c>
      <c r="I53">
        <v>9.3000000000000007</v>
      </c>
      <c r="J53" t="s">
        <v>36</v>
      </c>
      <c r="K53" t="s">
        <v>37</v>
      </c>
      <c r="L53" t="s">
        <v>37</v>
      </c>
      <c r="M53" t="s">
        <v>67</v>
      </c>
      <c r="N53" t="s">
        <v>68</v>
      </c>
      <c r="O53" t="s">
        <v>69</v>
      </c>
      <c r="P53" s="3">
        <v>45.59</v>
      </c>
      <c r="Q53" s="3">
        <v>30.19</v>
      </c>
      <c r="R53" s="4">
        <f t="shared" si="0"/>
        <v>0.33779337574029394</v>
      </c>
      <c r="S53">
        <v>1</v>
      </c>
      <c r="T53">
        <v>6</v>
      </c>
      <c r="U53" s="3">
        <f t="shared" si="1"/>
        <v>45.59</v>
      </c>
      <c r="V53" t="s">
        <v>41</v>
      </c>
      <c r="W53" t="s">
        <v>42</v>
      </c>
      <c r="X53">
        <v>4.4000000000000004</v>
      </c>
      <c r="Y53" t="s">
        <v>43</v>
      </c>
      <c r="Z53">
        <v>750</v>
      </c>
      <c r="AA53" t="s">
        <v>44</v>
      </c>
      <c r="AB53">
        <v>18</v>
      </c>
      <c r="AC53">
        <v>2025</v>
      </c>
      <c r="AD53">
        <v>2033</v>
      </c>
    </row>
    <row r="54" spans="1:30">
      <c r="A54" t="s">
        <v>275</v>
      </c>
      <c r="B54" t="s">
        <v>276</v>
      </c>
      <c r="C54" t="s">
        <v>32</v>
      </c>
      <c r="D54" t="s">
        <v>761</v>
      </c>
      <c r="E54" t="s">
        <v>188</v>
      </c>
      <c r="F54">
        <v>2003</v>
      </c>
      <c r="G54" t="s">
        <v>65</v>
      </c>
      <c r="H54" t="s">
        <v>211</v>
      </c>
      <c r="I54">
        <v>11.5</v>
      </c>
      <c r="J54" t="s">
        <v>36</v>
      </c>
      <c r="K54" t="s">
        <v>50</v>
      </c>
      <c r="L54" t="s">
        <v>37</v>
      </c>
      <c r="M54" t="s">
        <v>67</v>
      </c>
      <c r="N54" t="s">
        <v>277</v>
      </c>
      <c r="O54" t="s">
        <v>83</v>
      </c>
      <c r="P54" s="3">
        <v>247.23</v>
      </c>
      <c r="Q54" s="3">
        <v>129.31</v>
      </c>
      <c r="R54" s="4">
        <f t="shared" si="0"/>
        <v>0.47696476964769646</v>
      </c>
      <c r="S54">
        <v>0</v>
      </c>
      <c r="T54">
        <v>36</v>
      </c>
      <c r="U54" s="3">
        <f t="shared" si="1"/>
        <v>0</v>
      </c>
      <c r="V54" t="s">
        <v>84</v>
      </c>
      <c r="W54" t="s">
        <v>53</v>
      </c>
      <c r="X54">
        <v>4.8</v>
      </c>
      <c r="Y54" t="s">
        <v>43</v>
      </c>
      <c r="Z54">
        <v>750</v>
      </c>
      <c r="AA54" t="s">
        <v>61</v>
      </c>
      <c r="AB54">
        <v>12</v>
      </c>
      <c r="AC54">
        <v>2023</v>
      </c>
      <c r="AD54">
        <v>2026</v>
      </c>
    </row>
    <row r="55" spans="1:30">
      <c r="A55" t="s">
        <v>278</v>
      </c>
      <c r="B55" t="s">
        <v>279</v>
      </c>
      <c r="C55" t="s">
        <v>47</v>
      </c>
      <c r="D55" t="s">
        <v>761</v>
      </c>
      <c r="E55" t="s">
        <v>165</v>
      </c>
      <c r="F55">
        <v>2015</v>
      </c>
      <c r="G55" t="s">
        <v>34</v>
      </c>
      <c r="H55" t="s">
        <v>35</v>
      </c>
      <c r="I55">
        <v>15.4</v>
      </c>
      <c r="J55" t="s">
        <v>36</v>
      </c>
      <c r="K55" t="s">
        <v>59</v>
      </c>
      <c r="L55" t="s">
        <v>59</v>
      </c>
      <c r="M55" t="s">
        <v>38</v>
      </c>
      <c r="N55" t="s">
        <v>246</v>
      </c>
      <c r="O55" t="s">
        <v>118</v>
      </c>
      <c r="P55" s="3">
        <v>270.52</v>
      </c>
      <c r="Q55" s="3">
        <v>177.58</v>
      </c>
      <c r="R55" s="4">
        <f t="shared" si="0"/>
        <v>0.34356055005175207</v>
      </c>
      <c r="S55">
        <v>96</v>
      </c>
      <c r="T55">
        <v>50</v>
      </c>
      <c r="U55" s="3">
        <f t="shared" si="1"/>
        <v>25969.919999999998</v>
      </c>
      <c r="V55" t="s">
        <v>41</v>
      </c>
      <c r="W55" t="s">
        <v>70</v>
      </c>
      <c r="X55">
        <v>3.9</v>
      </c>
      <c r="Y55" t="s">
        <v>43</v>
      </c>
      <c r="Z55">
        <v>375</v>
      </c>
      <c r="AA55" t="s">
        <v>85</v>
      </c>
      <c r="AB55">
        <v>10</v>
      </c>
      <c r="AC55">
        <v>2028</v>
      </c>
      <c r="AD55">
        <v>2037</v>
      </c>
    </row>
    <row r="56" spans="1:30">
      <c r="A56" t="s">
        <v>280</v>
      </c>
      <c r="B56" t="s">
        <v>281</v>
      </c>
      <c r="C56" t="s">
        <v>282</v>
      </c>
      <c r="D56" t="s">
        <v>778</v>
      </c>
      <c r="E56" t="s">
        <v>142</v>
      </c>
      <c r="F56">
        <v>2008</v>
      </c>
      <c r="G56" t="s">
        <v>34</v>
      </c>
      <c r="H56" t="s">
        <v>111</v>
      </c>
      <c r="I56">
        <v>13.6</v>
      </c>
      <c r="J56" t="s">
        <v>36</v>
      </c>
      <c r="K56" t="s">
        <v>59</v>
      </c>
      <c r="L56" t="s">
        <v>59</v>
      </c>
      <c r="M56" t="s">
        <v>38</v>
      </c>
      <c r="N56" t="s">
        <v>246</v>
      </c>
      <c r="O56" t="s">
        <v>40</v>
      </c>
      <c r="P56" s="3">
        <v>41.62</v>
      </c>
      <c r="Q56" s="3">
        <v>25.97</v>
      </c>
      <c r="R56" s="4">
        <f t="shared" si="0"/>
        <v>0.3760211436809226</v>
      </c>
      <c r="S56">
        <v>8</v>
      </c>
      <c r="T56">
        <v>50</v>
      </c>
      <c r="U56" s="3">
        <f t="shared" si="1"/>
        <v>332.96</v>
      </c>
      <c r="V56" t="s">
        <v>77</v>
      </c>
      <c r="W56" t="s">
        <v>107</v>
      </c>
      <c r="X56">
        <v>3.4</v>
      </c>
      <c r="Y56" t="s">
        <v>43</v>
      </c>
      <c r="Z56">
        <v>1500</v>
      </c>
      <c r="AA56" t="s">
        <v>85</v>
      </c>
      <c r="AB56">
        <v>12</v>
      </c>
      <c r="AC56">
        <v>2026</v>
      </c>
      <c r="AD56">
        <v>2033</v>
      </c>
    </row>
    <row r="57" spans="1:30">
      <c r="A57" t="s">
        <v>283</v>
      </c>
      <c r="B57" t="s">
        <v>284</v>
      </c>
      <c r="C57" t="s">
        <v>177</v>
      </c>
      <c r="D57" t="s">
        <v>783</v>
      </c>
      <c r="E57" t="s">
        <v>233</v>
      </c>
      <c r="F57">
        <v>2023</v>
      </c>
      <c r="G57" t="s">
        <v>151</v>
      </c>
      <c r="H57" t="s">
        <v>285</v>
      </c>
      <c r="I57">
        <v>12.2</v>
      </c>
      <c r="J57" t="s">
        <v>36</v>
      </c>
      <c r="K57" t="s">
        <v>37</v>
      </c>
      <c r="L57" t="s">
        <v>37</v>
      </c>
      <c r="M57" t="s">
        <v>67</v>
      </c>
      <c r="N57" t="s">
        <v>286</v>
      </c>
      <c r="O57" t="s">
        <v>154</v>
      </c>
      <c r="P57" s="3">
        <v>52.14</v>
      </c>
      <c r="Q57" s="3">
        <v>31.85</v>
      </c>
      <c r="R57" s="4">
        <f t="shared" si="0"/>
        <v>0.38914461066359801</v>
      </c>
      <c r="S57">
        <v>2</v>
      </c>
      <c r="T57">
        <v>6</v>
      </c>
      <c r="U57" s="3">
        <f t="shared" si="1"/>
        <v>104.28</v>
      </c>
      <c r="V57" t="s">
        <v>41</v>
      </c>
      <c r="W57" t="s">
        <v>102</v>
      </c>
      <c r="X57">
        <v>3.9</v>
      </c>
      <c r="Y57" t="s">
        <v>43</v>
      </c>
      <c r="Z57">
        <v>750</v>
      </c>
      <c r="AA57" t="s">
        <v>44</v>
      </c>
      <c r="AB57">
        <v>10</v>
      </c>
      <c r="AC57">
        <v>2028</v>
      </c>
      <c r="AD57">
        <v>2033</v>
      </c>
    </row>
    <row r="58" spans="1:30">
      <c r="A58" t="s">
        <v>287</v>
      </c>
      <c r="B58" t="s">
        <v>288</v>
      </c>
      <c r="C58" t="s">
        <v>56</v>
      </c>
      <c r="D58" t="s">
        <v>782</v>
      </c>
      <c r="E58" t="s">
        <v>289</v>
      </c>
      <c r="F58">
        <v>2005</v>
      </c>
      <c r="G58" t="s">
        <v>88</v>
      </c>
      <c r="H58" t="s">
        <v>89</v>
      </c>
      <c r="I58">
        <v>15.7</v>
      </c>
      <c r="J58" t="s">
        <v>36</v>
      </c>
      <c r="K58" t="s">
        <v>59</v>
      </c>
      <c r="L58" t="s">
        <v>37</v>
      </c>
      <c r="M58" t="s">
        <v>59</v>
      </c>
      <c r="N58" t="s">
        <v>290</v>
      </c>
      <c r="O58" t="s">
        <v>195</v>
      </c>
      <c r="P58" s="3">
        <v>125.65</v>
      </c>
      <c r="Q58" s="3">
        <v>74.260000000000005</v>
      </c>
      <c r="R58" s="4">
        <f t="shared" si="0"/>
        <v>0.4089932351770792</v>
      </c>
      <c r="S58">
        <v>1</v>
      </c>
      <c r="T58">
        <v>24</v>
      </c>
      <c r="U58" s="3">
        <f t="shared" si="1"/>
        <v>125.65</v>
      </c>
      <c r="V58" t="s">
        <v>41</v>
      </c>
      <c r="W58" t="s">
        <v>107</v>
      </c>
      <c r="X58">
        <v>4.3</v>
      </c>
      <c r="Y58" t="s">
        <v>43</v>
      </c>
      <c r="Z58">
        <v>375</v>
      </c>
      <c r="AA58" t="s">
        <v>61</v>
      </c>
      <c r="AB58">
        <v>16</v>
      </c>
      <c r="AC58">
        <v>2024</v>
      </c>
      <c r="AD58">
        <v>2035</v>
      </c>
    </row>
    <row r="59" spans="1:30">
      <c r="A59" t="s">
        <v>291</v>
      </c>
      <c r="B59" t="s">
        <v>292</v>
      </c>
      <c r="C59" t="s">
        <v>56</v>
      </c>
      <c r="D59" t="s">
        <v>763</v>
      </c>
      <c r="E59" t="s">
        <v>210</v>
      </c>
      <c r="F59">
        <v>2016</v>
      </c>
      <c r="G59" t="s">
        <v>151</v>
      </c>
      <c r="H59" t="s">
        <v>285</v>
      </c>
      <c r="I59">
        <v>9.1999999999999993</v>
      </c>
      <c r="J59" t="s">
        <v>36</v>
      </c>
      <c r="K59" t="s">
        <v>59</v>
      </c>
      <c r="L59" t="s">
        <v>37</v>
      </c>
      <c r="M59" t="s">
        <v>67</v>
      </c>
      <c r="N59" t="s">
        <v>293</v>
      </c>
      <c r="O59" t="s">
        <v>190</v>
      </c>
      <c r="P59" s="3">
        <v>1097.0899999999999</v>
      </c>
      <c r="Q59" s="3">
        <v>741.8</v>
      </c>
      <c r="R59" s="4">
        <f t="shared" si="0"/>
        <v>0.32384763328441601</v>
      </c>
      <c r="S59">
        <v>200</v>
      </c>
      <c r="T59">
        <v>36</v>
      </c>
      <c r="U59" s="3">
        <f t="shared" si="1"/>
        <v>219417.99999999997</v>
      </c>
      <c r="V59" t="s">
        <v>41</v>
      </c>
      <c r="W59" t="s">
        <v>102</v>
      </c>
      <c r="X59">
        <v>3.9</v>
      </c>
      <c r="Y59" t="s">
        <v>43</v>
      </c>
      <c r="Z59">
        <v>750</v>
      </c>
      <c r="AA59" t="s">
        <v>61</v>
      </c>
      <c r="AB59">
        <v>10</v>
      </c>
      <c r="AC59">
        <v>2025</v>
      </c>
      <c r="AD59">
        <v>2038</v>
      </c>
    </row>
    <row r="60" spans="1:30">
      <c r="A60" t="s">
        <v>294</v>
      </c>
      <c r="B60" t="s">
        <v>295</v>
      </c>
      <c r="C60" t="s">
        <v>141</v>
      </c>
      <c r="D60" t="s">
        <v>757</v>
      </c>
      <c r="E60" t="s">
        <v>188</v>
      </c>
      <c r="F60">
        <v>2017</v>
      </c>
      <c r="G60" t="s">
        <v>34</v>
      </c>
      <c r="H60" t="s">
        <v>211</v>
      </c>
      <c r="I60">
        <v>9.1999999999999993</v>
      </c>
      <c r="J60" t="s">
        <v>81</v>
      </c>
      <c r="K60" t="s">
        <v>37</v>
      </c>
      <c r="L60" t="s">
        <v>59</v>
      </c>
      <c r="M60" t="s">
        <v>38</v>
      </c>
      <c r="N60" t="s">
        <v>220</v>
      </c>
      <c r="O60" t="s">
        <v>52</v>
      </c>
      <c r="P60" s="3">
        <v>82.8</v>
      </c>
      <c r="Q60" s="3">
        <v>37.46</v>
      </c>
      <c r="R60" s="4">
        <f t="shared" si="0"/>
        <v>0.54758454106280186</v>
      </c>
      <c r="S60">
        <v>350</v>
      </c>
      <c r="T60">
        <v>24</v>
      </c>
      <c r="U60" s="3">
        <f t="shared" si="1"/>
        <v>28980</v>
      </c>
      <c r="V60" t="s">
        <v>77</v>
      </c>
      <c r="W60" t="s">
        <v>107</v>
      </c>
      <c r="X60">
        <v>3.6</v>
      </c>
      <c r="Y60" t="s">
        <v>43</v>
      </c>
      <c r="Z60">
        <v>750</v>
      </c>
      <c r="AA60" t="s">
        <v>61</v>
      </c>
      <c r="AB60">
        <v>8</v>
      </c>
      <c r="AC60">
        <v>2023</v>
      </c>
      <c r="AD60">
        <v>2029</v>
      </c>
    </row>
    <row r="61" spans="1:30">
      <c r="A61" t="s">
        <v>296</v>
      </c>
      <c r="B61" t="s">
        <v>297</v>
      </c>
      <c r="C61" t="s">
        <v>32</v>
      </c>
      <c r="D61" t="s">
        <v>785</v>
      </c>
      <c r="E61" t="s">
        <v>298</v>
      </c>
      <c r="F61">
        <v>2018</v>
      </c>
      <c r="G61" t="s">
        <v>88</v>
      </c>
      <c r="H61" t="s">
        <v>89</v>
      </c>
      <c r="I61">
        <v>8.3000000000000007</v>
      </c>
      <c r="J61" t="s">
        <v>36</v>
      </c>
      <c r="K61" t="s">
        <v>50</v>
      </c>
      <c r="L61" t="s">
        <v>37</v>
      </c>
      <c r="M61" t="s">
        <v>59</v>
      </c>
      <c r="N61" t="s">
        <v>299</v>
      </c>
      <c r="O61" t="s">
        <v>125</v>
      </c>
      <c r="P61" s="3">
        <v>64.61</v>
      </c>
      <c r="Q61" s="3">
        <v>42.84</v>
      </c>
      <c r="R61" s="4">
        <f t="shared" si="0"/>
        <v>0.33694474539544955</v>
      </c>
      <c r="S61">
        <v>120</v>
      </c>
      <c r="T61">
        <v>50</v>
      </c>
      <c r="U61" s="3">
        <f t="shared" si="1"/>
        <v>7753.2</v>
      </c>
      <c r="V61" t="s">
        <v>77</v>
      </c>
      <c r="W61" t="s">
        <v>42</v>
      </c>
      <c r="X61">
        <v>4.7</v>
      </c>
      <c r="Y61" t="s">
        <v>43</v>
      </c>
      <c r="Z61">
        <v>750</v>
      </c>
      <c r="AA61" t="s">
        <v>44</v>
      </c>
      <c r="AB61">
        <v>16</v>
      </c>
      <c r="AC61">
        <v>2028</v>
      </c>
      <c r="AD61">
        <v>2036</v>
      </c>
    </row>
    <row r="62" spans="1:30">
      <c r="A62" t="s">
        <v>300</v>
      </c>
      <c r="B62" t="s">
        <v>301</v>
      </c>
      <c r="C62" t="s">
        <v>94</v>
      </c>
      <c r="D62" t="s">
        <v>786</v>
      </c>
      <c r="E62" t="s">
        <v>57</v>
      </c>
      <c r="F62">
        <v>2019</v>
      </c>
      <c r="G62" t="s">
        <v>134</v>
      </c>
      <c r="H62" t="s">
        <v>143</v>
      </c>
      <c r="I62">
        <v>13.1</v>
      </c>
      <c r="J62" t="s">
        <v>136</v>
      </c>
      <c r="K62" t="s">
        <v>37</v>
      </c>
      <c r="L62" t="s">
        <v>37</v>
      </c>
      <c r="M62" t="s">
        <v>59</v>
      </c>
      <c r="N62" t="s">
        <v>302</v>
      </c>
      <c r="O62" t="s">
        <v>138</v>
      </c>
      <c r="P62" s="3">
        <v>110.17</v>
      </c>
      <c r="Q62" s="3">
        <v>69.98</v>
      </c>
      <c r="R62" s="4">
        <f t="shared" si="0"/>
        <v>0.36479985476990101</v>
      </c>
      <c r="S62">
        <v>1000</v>
      </c>
      <c r="T62">
        <v>50</v>
      </c>
      <c r="U62" s="3">
        <f t="shared" si="1"/>
        <v>110170</v>
      </c>
      <c r="V62" t="s">
        <v>41</v>
      </c>
      <c r="W62" t="s">
        <v>70</v>
      </c>
      <c r="X62">
        <v>4.5999999999999996</v>
      </c>
      <c r="Y62" t="s">
        <v>43</v>
      </c>
      <c r="Z62">
        <v>750</v>
      </c>
      <c r="AA62" t="s">
        <v>85</v>
      </c>
      <c r="AB62">
        <v>12</v>
      </c>
      <c r="AC62">
        <v>2023</v>
      </c>
      <c r="AD62">
        <v>2038</v>
      </c>
    </row>
    <row r="63" spans="1:30">
      <c r="A63" t="s">
        <v>303</v>
      </c>
      <c r="B63" t="s">
        <v>304</v>
      </c>
      <c r="C63" t="s">
        <v>74</v>
      </c>
      <c r="D63" t="s">
        <v>785</v>
      </c>
      <c r="E63" t="s">
        <v>188</v>
      </c>
      <c r="F63">
        <v>2000</v>
      </c>
      <c r="G63" t="s">
        <v>34</v>
      </c>
      <c r="H63" t="s">
        <v>35</v>
      </c>
      <c r="I63">
        <v>7.3</v>
      </c>
      <c r="J63" t="s">
        <v>36</v>
      </c>
      <c r="K63" t="s">
        <v>50</v>
      </c>
      <c r="L63" t="s">
        <v>50</v>
      </c>
      <c r="M63" t="s">
        <v>38</v>
      </c>
      <c r="N63" t="s">
        <v>117</v>
      </c>
      <c r="O63" t="s">
        <v>40</v>
      </c>
      <c r="P63" s="3">
        <v>111.61</v>
      </c>
      <c r="Q63" s="3">
        <v>44.12</v>
      </c>
      <c r="R63" s="4">
        <f t="shared" si="0"/>
        <v>0.60469491981005297</v>
      </c>
      <c r="S63">
        <v>8</v>
      </c>
      <c r="T63">
        <v>36</v>
      </c>
      <c r="U63" s="3">
        <f t="shared" si="1"/>
        <v>892.88</v>
      </c>
      <c r="V63" t="s">
        <v>41</v>
      </c>
      <c r="W63" t="s">
        <v>70</v>
      </c>
      <c r="X63">
        <v>4</v>
      </c>
      <c r="Y63" t="s">
        <v>43</v>
      </c>
      <c r="Z63">
        <v>750</v>
      </c>
      <c r="AA63" t="s">
        <v>44</v>
      </c>
      <c r="AB63">
        <v>14</v>
      </c>
      <c r="AC63">
        <v>2024</v>
      </c>
      <c r="AD63">
        <v>2030</v>
      </c>
    </row>
    <row r="64" spans="1:30">
      <c r="A64" t="s">
        <v>305</v>
      </c>
      <c r="B64" t="s">
        <v>306</v>
      </c>
      <c r="C64" t="s">
        <v>47</v>
      </c>
      <c r="D64" t="s">
        <v>761</v>
      </c>
      <c r="E64" t="s">
        <v>307</v>
      </c>
      <c r="F64">
        <v>2016</v>
      </c>
      <c r="G64" t="s">
        <v>34</v>
      </c>
      <c r="H64" t="s">
        <v>96</v>
      </c>
      <c r="I64">
        <v>11.5</v>
      </c>
      <c r="J64" t="s">
        <v>36</v>
      </c>
      <c r="K64" t="s">
        <v>37</v>
      </c>
      <c r="L64" t="s">
        <v>50</v>
      </c>
      <c r="M64" t="s">
        <v>38</v>
      </c>
      <c r="N64" t="s">
        <v>212</v>
      </c>
      <c r="O64" t="s">
        <v>40</v>
      </c>
      <c r="P64" s="3">
        <v>63.88</v>
      </c>
      <c r="Q64" s="3">
        <v>45.37</v>
      </c>
      <c r="R64" s="4">
        <f t="shared" si="0"/>
        <v>0.28976205385097065</v>
      </c>
      <c r="S64">
        <v>72</v>
      </c>
      <c r="T64">
        <v>6</v>
      </c>
      <c r="U64" s="3">
        <f t="shared" si="1"/>
        <v>4599.3600000000006</v>
      </c>
      <c r="V64" t="s">
        <v>41</v>
      </c>
      <c r="W64" t="s">
        <v>102</v>
      </c>
      <c r="X64">
        <v>3.6</v>
      </c>
      <c r="Y64" t="s">
        <v>43</v>
      </c>
      <c r="Z64">
        <v>750</v>
      </c>
      <c r="AA64" t="s">
        <v>61</v>
      </c>
      <c r="AB64">
        <v>14</v>
      </c>
      <c r="AC64">
        <v>2027</v>
      </c>
      <c r="AD64">
        <v>2032</v>
      </c>
    </row>
    <row r="65" spans="1:30">
      <c r="A65" t="s">
        <v>308</v>
      </c>
      <c r="B65" t="s">
        <v>309</v>
      </c>
      <c r="C65" t="s">
        <v>141</v>
      </c>
      <c r="D65" t="s">
        <v>787</v>
      </c>
      <c r="E65" t="s">
        <v>188</v>
      </c>
      <c r="F65">
        <v>2012</v>
      </c>
      <c r="G65" t="s">
        <v>88</v>
      </c>
      <c r="H65" t="s">
        <v>181</v>
      </c>
      <c r="I65">
        <v>13.2</v>
      </c>
      <c r="J65" t="s">
        <v>36</v>
      </c>
      <c r="K65" t="s">
        <v>37</v>
      </c>
      <c r="L65" t="s">
        <v>37</v>
      </c>
      <c r="M65" t="s">
        <v>59</v>
      </c>
      <c r="N65" t="s">
        <v>310</v>
      </c>
      <c r="O65" t="s">
        <v>91</v>
      </c>
      <c r="P65" s="3">
        <v>284.3</v>
      </c>
      <c r="Q65" s="3">
        <v>163.9</v>
      </c>
      <c r="R65" s="4">
        <f t="shared" si="0"/>
        <v>0.42349630671825539</v>
      </c>
      <c r="S65">
        <v>24</v>
      </c>
      <c r="T65">
        <v>24</v>
      </c>
      <c r="U65" s="3">
        <f t="shared" si="1"/>
        <v>6823.2000000000007</v>
      </c>
      <c r="V65" t="s">
        <v>77</v>
      </c>
      <c r="W65" t="s">
        <v>42</v>
      </c>
      <c r="X65">
        <v>4.5999999999999996</v>
      </c>
      <c r="Y65" t="s">
        <v>43</v>
      </c>
      <c r="Z65">
        <v>750</v>
      </c>
      <c r="AA65" t="s">
        <v>44</v>
      </c>
      <c r="AB65">
        <v>8</v>
      </c>
      <c r="AC65">
        <v>2026</v>
      </c>
      <c r="AD65">
        <v>2034</v>
      </c>
    </row>
    <row r="66" spans="1:30">
      <c r="A66" t="s">
        <v>311</v>
      </c>
      <c r="B66" t="s">
        <v>312</v>
      </c>
      <c r="C66" t="s">
        <v>94</v>
      </c>
      <c r="D66" t="s">
        <v>778</v>
      </c>
      <c r="E66" t="s">
        <v>313</v>
      </c>
      <c r="F66">
        <v>2020</v>
      </c>
      <c r="G66" t="s">
        <v>151</v>
      </c>
      <c r="H66" t="s">
        <v>152</v>
      </c>
      <c r="I66">
        <v>11.5</v>
      </c>
      <c r="J66" t="s">
        <v>36</v>
      </c>
      <c r="K66" t="s">
        <v>50</v>
      </c>
      <c r="L66" t="s">
        <v>37</v>
      </c>
      <c r="M66" t="s">
        <v>67</v>
      </c>
      <c r="N66" t="s">
        <v>314</v>
      </c>
      <c r="O66" t="s">
        <v>190</v>
      </c>
      <c r="P66" s="3">
        <v>211.37</v>
      </c>
      <c r="Q66" s="3">
        <v>139.05000000000001</v>
      </c>
      <c r="R66" s="4">
        <f t="shared" ref="R66:R129" si="2">IFERROR((P66-Q66)/P66,0)</f>
        <v>0.3421488385295926</v>
      </c>
      <c r="S66">
        <v>2</v>
      </c>
      <c r="T66">
        <v>6</v>
      </c>
      <c r="U66" s="3">
        <f t="shared" ref="U66:U129" si="3">P66*S66</f>
        <v>422.74</v>
      </c>
      <c r="V66" t="s">
        <v>41</v>
      </c>
      <c r="W66" t="s">
        <v>102</v>
      </c>
      <c r="X66">
        <v>3.9</v>
      </c>
      <c r="Y66" t="s">
        <v>43</v>
      </c>
      <c r="Z66">
        <v>750</v>
      </c>
      <c r="AA66" t="s">
        <v>85</v>
      </c>
      <c r="AB66">
        <v>18</v>
      </c>
      <c r="AC66">
        <v>2026</v>
      </c>
      <c r="AD66">
        <v>2031</v>
      </c>
    </row>
    <row r="67" spans="1:30">
      <c r="A67" t="s">
        <v>315</v>
      </c>
      <c r="B67" t="s">
        <v>316</v>
      </c>
      <c r="C67" t="s">
        <v>282</v>
      </c>
      <c r="D67" t="s">
        <v>756</v>
      </c>
      <c r="E67" t="s">
        <v>317</v>
      </c>
      <c r="F67">
        <v>2013</v>
      </c>
      <c r="G67" t="s">
        <v>88</v>
      </c>
      <c r="H67" t="s">
        <v>152</v>
      </c>
      <c r="I67">
        <v>11</v>
      </c>
      <c r="J67" t="s">
        <v>36</v>
      </c>
      <c r="K67" t="s">
        <v>37</v>
      </c>
      <c r="L67" t="s">
        <v>37</v>
      </c>
      <c r="M67" t="s">
        <v>59</v>
      </c>
      <c r="N67" t="s">
        <v>318</v>
      </c>
      <c r="O67" t="s">
        <v>201</v>
      </c>
      <c r="P67" s="3">
        <v>161.22</v>
      </c>
      <c r="Q67" s="3">
        <v>102.21</v>
      </c>
      <c r="R67" s="4">
        <f t="shared" si="2"/>
        <v>0.36602158541123936</v>
      </c>
      <c r="S67">
        <v>36</v>
      </c>
      <c r="T67">
        <v>36</v>
      </c>
      <c r="U67" s="3">
        <f t="shared" si="3"/>
        <v>5803.92</v>
      </c>
      <c r="V67" t="s">
        <v>41</v>
      </c>
      <c r="W67" t="s">
        <v>70</v>
      </c>
      <c r="X67">
        <v>3.2</v>
      </c>
      <c r="Y67" t="s">
        <v>43</v>
      </c>
      <c r="Z67">
        <v>750</v>
      </c>
      <c r="AA67" t="s">
        <v>85</v>
      </c>
      <c r="AB67">
        <v>12</v>
      </c>
      <c r="AC67">
        <v>2021</v>
      </c>
      <c r="AD67">
        <v>2025</v>
      </c>
    </row>
    <row r="68" spans="1:30">
      <c r="A68" t="s">
        <v>319</v>
      </c>
      <c r="B68" t="s">
        <v>320</v>
      </c>
      <c r="C68" t="s">
        <v>121</v>
      </c>
      <c r="D68" t="s">
        <v>785</v>
      </c>
      <c r="E68" t="s">
        <v>237</v>
      </c>
      <c r="F68">
        <v>2000</v>
      </c>
      <c r="G68" t="s">
        <v>34</v>
      </c>
      <c r="H68" t="s">
        <v>66</v>
      </c>
      <c r="I68">
        <v>8.1999999999999993</v>
      </c>
      <c r="J68" t="s">
        <v>36</v>
      </c>
      <c r="K68" t="s">
        <v>37</v>
      </c>
      <c r="L68" t="s">
        <v>59</v>
      </c>
      <c r="M68" t="s">
        <v>38</v>
      </c>
      <c r="N68" t="s">
        <v>321</v>
      </c>
      <c r="O68" t="s">
        <v>40</v>
      </c>
      <c r="P68" s="3">
        <v>255.18</v>
      </c>
      <c r="Q68" s="3">
        <v>163.31</v>
      </c>
      <c r="R68" s="4">
        <f t="shared" si="2"/>
        <v>0.36002037777255269</v>
      </c>
      <c r="S68">
        <v>1</v>
      </c>
      <c r="T68">
        <v>6</v>
      </c>
      <c r="U68" s="3">
        <f t="shared" si="3"/>
        <v>255.18</v>
      </c>
      <c r="V68" t="s">
        <v>77</v>
      </c>
      <c r="W68" t="s">
        <v>42</v>
      </c>
      <c r="X68">
        <v>4.2</v>
      </c>
      <c r="Y68" t="s">
        <v>43</v>
      </c>
      <c r="Z68">
        <v>750</v>
      </c>
      <c r="AA68" t="s">
        <v>61</v>
      </c>
      <c r="AB68">
        <v>8</v>
      </c>
      <c r="AC68">
        <v>2027</v>
      </c>
      <c r="AD68">
        <v>2033</v>
      </c>
    </row>
    <row r="69" spans="1:30">
      <c r="A69" t="s">
        <v>322</v>
      </c>
      <c r="B69" t="s">
        <v>323</v>
      </c>
      <c r="C69" t="s">
        <v>74</v>
      </c>
      <c r="D69" t="s">
        <v>788</v>
      </c>
      <c r="E69" t="s">
        <v>169</v>
      </c>
      <c r="F69">
        <v>2023</v>
      </c>
      <c r="G69" t="s">
        <v>88</v>
      </c>
      <c r="H69" t="s">
        <v>193</v>
      </c>
      <c r="I69">
        <v>11.8</v>
      </c>
      <c r="J69" t="s">
        <v>36</v>
      </c>
      <c r="K69" t="s">
        <v>37</v>
      </c>
      <c r="L69" t="s">
        <v>37</v>
      </c>
      <c r="M69" t="s">
        <v>59</v>
      </c>
      <c r="N69" t="s">
        <v>324</v>
      </c>
      <c r="O69" t="s">
        <v>201</v>
      </c>
      <c r="P69" s="3">
        <v>1793.36</v>
      </c>
      <c r="Q69" s="3">
        <v>1287.43</v>
      </c>
      <c r="R69" s="4">
        <f t="shared" si="2"/>
        <v>0.2821129053843065</v>
      </c>
      <c r="S69">
        <v>24</v>
      </c>
      <c r="T69">
        <v>36</v>
      </c>
      <c r="U69" s="3">
        <f t="shared" si="3"/>
        <v>43040.639999999999</v>
      </c>
      <c r="V69" t="s">
        <v>41</v>
      </c>
      <c r="W69" t="s">
        <v>107</v>
      </c>
      <c r="X69">
        <v>3.8</v>
      </c>
      <c r="Y69" t="s">
        <v>43</v>
      </c>
      <c r="Z69">
        <v>750</v>
      </c>
      <c r="AA69" t="s">
        <v>85</v>
      </c>
      <c r="AB69">
        <v>18</v>
      </c>
      <c r="AC69">
        <v>2021</v>
      </c>
      <c r="AD69">
        <v>2036</v>
      </c>
    </row>
    <row r="70" spans="1:30">
      <c r="A70" t="s">
        <v>325</v>
      </c>
      <c r="B70" t="s">
        <v>326</v>
      </c>
      <c r="C70" t="s">
        <v>177</v>
      </c>
      <c r="D70" t="s">
        <v>757</v>
      </c>
      <c r="E70" t="s">
        <v>298</v>
      </c>
      <c r="F70">
        <v>2023</v>
      </c>
      <c r="G70" t="s">
        <v>151</v>
      </c>
      <c r="H70" t="s">
        <v>80</v>
      </c>
      <c r="I70">
        <v>15.4</v>
      </c>
      <c r="J70" t="s">
        <v>36</v>
      </c>
      <c r="K70" t="s">
        <v>59</v>
      </c>
      <c r="L70" t="s">
        <v>37</v>
      </c>
      <c r="M70" t="s">
        <v>67</v>
      </c>
      <c r="N70" t="s">
        <v>327</v>
      </c>
      <c r="O70" t="s">
        <v>154</v>
      </c>
      <c r="P70" s="3">
        <v>247.32</v>
      </c>
      <c r="Q70" s="3">
        <v>155.36000000000001</v>
      </c>
      <c r="R70" s="4">
        <f t="shared" si="2"/>
        <v>0.37182597444606169</v>
      </c>
      <c r="S70">
        <v>96</v>
      </c>
      <c r="T70">
        <v>24</v>
      </c>
      <c r="U70" s="3">
        <f t="shared" si="3"/>
        <v>23742.720000000001</v>
      </c>
      <c r="V70" t="s">
        <v>41</v>
      </c>
      <c r="W70" t="s">
        <v>70</v>
      </c>
      <c r="X70">
        <v>3.4</v>
      </c>
      <c r="Y70" t="s">
        <v>43</v>
      </c>
      <c r="Z70">
        <v>750</v>
      </c>
      <c r="AA70" t="s">
        <v>85</v>
      </c>
      <c r="AB70">
        <v>18</v>
      </c>
      <c r="AC70">
        <v>2026</v>
      </c>
      <c r="AD70">
        <v>2038</v>
      </c>
    </row>
    <row r="71" spans="1:30">
      <c r="A71" t="s">
        <v>328</v>
      </c>
      <c r="B71" t="s">
        <v>329</v>
      </c>
      <c r="C71" t="s">
        <v>132</v>
      </c>
      <c r="D71" t="s">
        <v>784</v>
      </c>
      <c r="E71" t="s">
        <v>188</v>
      </c>
      <c r="F71">
        <v>2013</v>
      </c>
      <c r="G71" t="s">
        <v>65</v>
      </c>
      <c r="H71" t="s">
        <v>66</v>
      </c>
      <c r="I71">
        <v>15.8</v>
      </c>
      <c r="J71" t="s">
        <v>36</v>
      </c>
      <c r="K71" t="s">
        <v>37</v>
      </c>
      <c r="L71" t="s">
        <v>37</v>
      </c>
      <c r="M71" t="s">
        <v>67</v>
      </c>
      <c r="N71" t="s">
        <v>330</v>
      </c>
      <c r="O71" t="s">
        <v>83</v>
      </c>
      <c r="P71" s="3">
        <v>42.15</v>
      </c>
      <c r="Q71" s="3">
        <v>19.22</v>
      </c>
      <c r="R71" s="4">
        <f t="shared" si="2"/>
        <v>0.54400948991696318</v>
      </c>
      <c r="S71">
        <v>200</v>
      </c>
      <c r="T71">
        <v>6</v>
      </c>
      <c r="U71" s="3">
        <f t="shared" si="3"/>
        <v>8430</v>
      </c>
      <c r="V71" t="s">
        <v>77</v>
      </c>
      <c r="W71" t="s">
        <v>53</v>
      </c>
      <c r="X71">
        <v>4.3</v>
      </c>
      <c r="Y71" t="s">
        <v>43</v>
      </c>
      <c r="Z71">
        <v>750</v>
      </c>
      <c r="AA71" t="s">
        <v>85</v>
      </c>
      <c r="AB71">
        <v>16</v>
      </c>
      <c r="AC71">
        <v>2024</v>
      </c>
      <c r="AD71">
        <v>2036</v>
      </c>
    </row>
    <row r="72" spans="1:30">
      <c r="A72" t="s">
        <v>331</v>
      </c>
      <c r="B72" t="s">
        <v>332</v>
      </c>
      <c r="C72" t="s">
        <v>121</v>
      </c>
      <c r="D72" t="s">
        <v>771</v>
      </c>
      <c r="E72" t="s">
        <v>169</v>
      </c>
      <c r="F72">
        <v>2020</v>
      </c>
      <c r="G72" t="s">
        <v>88</v>
      </c>
      <c r="H72" t="s">
        <v>181</v>
      </c>
      <c r="I72">
        <v>10.7</v>
      </c>
      <c r="J72" t="s">
        <v>36</v>
      </c>
      <c r="K72" t="s">
        <v>59</v>
      </c>
      <c r="L72" t="s">
        <v>37</v>
      </c>
      <c r="M72" t="s">
        <v>59</v>
      </c>
      <c r="N72" t="s">
        <v>333</v>
      </c>
      <c r="O72" t="s">
        <v>125</v>
      </c>
      <c r="P72" s="3">
        <v>345.71</v>
      </c>
      <c r="Q72" s="3">
        <v>132.72</v>
      </c>
      <c r="R72" s="4">
        <f t="shared" si="2"/>
        <v>0.61609441439356682</v>
      </c>
      <c r="S72">
        <v>600</v>
      </c>
      <c r="T72">
        <v>24</v>
      </c>
      <c r="U72" s="3">
        <f t="shared" si="3"/>
        <v>207426</v>
      </c>
      <c r="V72" t="s">
        <v>41</v>
      </c>
      <c r="W72" t="s">
        <v>53</v>
      </c>
      <c r="X72">
        <v>4.7</v>
      </c>
      <c r="Y72" t="s">
        <v>43</v>
      </c>
      <c r="Z72">
        <v>750</v>
      </c>
      <c r="AA72" t="s">
        <v>85</v>
      </c>
      <c r="AB72">
        <v>12</v>
      </c>
      <c r="AC72">
        <v>2027</v>
      </c>
      <c r="AD72">
        <v>2039</v>
      </c>
    </row>
    <row r="73" spans="1:30">
      <c r="A73" t="s">
        <v>334</v>
      </c>
      <c r="B73" t="s">
        <v>335</v>
      </c>
      <c r="C73" t="s">
        <v>115</v>
      </c>
      <c r="D73" t="s">
        <v>789</v>
      </c>
      <c r="E73" t="s">
        <v>260</v>
      </c>
      <c r="F73">
        <v>2019</v>
      </c>
      <c r="G73" t="s">
        <v>34</v>
      </c>
      <c r="H73" t="s">
        <v>35</v>
      </c>
      <c r="I73">
        <v>14</v>
      </c>
      <c r="J73" t="s">
        <v>36</v>
      </c>
      <c r="K73" t="s">
        <v>37</v>
      </c>
      <c r="L73" t="s">
        <v>59</v>
      </c>
      <c r="M73" t="s">
        <v>38</v>
      </c>
      <c r="N73" t="s">
        <v>336</v>
      </c>
      <c r="O73" t="s">
        <v>118</v>
      </c>
      <c r="P73" s="3">
        <v>79.94</v>
      </c>
      <c r="Q73" s="3">
        <v>31.87</v>
      </c>
      <c r="R73" s="4">
        <f t="shared" si="2"/>
        <v>0.60132599449587187</v>
      </c>
      <c r="S73">
        <v>0</v>
      </c>
      <c r="T73">
        <v>24</v>
      </c>
      <c r="U73" s="3">
        <f t="shared" si="3"/>
        <v>0</v>
      </c>
      <c r="V73" t="s">
        <v>84</v>
      </c>
      <c r="W73" t="s">
        <v>70</v>
      </c>
      <c r="X73">
        <v>4.5999999999999996</v>
      </c>
      <c r="Y73" t="s">
        <v>43</v>
      </c>
      <c r="Z73">
        <v>1500</v>
      </c>
      <c r="AA73" t="s">
        <v>85</v>
      </c>
      <c r="AB73">
        <v>12</v>
      </c>
      <c r="AC73">
        <v>2022</v>
      </c>
      <c r="AD73">
        <v>2035</v>
      </c>
    </row>
    <row r="74" spans="1:30">
      <c r="A74" t="s">
        <v>337</v>
      </c>
      <c r="B74" t="s">
        <v>338</v>
      </c>
      <c r="C74" t="s">
        <v>282</v>
      </c>
      <c r="D74" t="s">
        <v>782</v>
      </c>
      <c r="E74" t="s">
        <v>133</v>
      </c>
      <c r="F74">
        <v>2015</v>
      </c>
      <c r="G74" t="s">
        <v>88</v>
      </c>
      <c r="H74" t="s">
        <v>193</v>
      </c>
      <c r="I74">
        <v>14.4</v>
      </c>
      <c r="J74" t="s">
        <v>36</v>
      </c>
      <c r="K74" t="s">
        <v>37</v>
      </c>
      <c r="L74" t="s">
        <v>37</v>
      </c>
      <c r="M74" t="s">
        <v>59</v>
      </c>
      <c r="N74" t="s">
        <v>299</v>
      </c>
      <c r="O74" t="s">
        <v>125</v>
      </c>
      <c r="P74" s="3">
        <v>130.81</v>
      </c>
      <c r="Q74" s="3">
        <v>85.19</v>
      </c>
      <c r="R74" s="4">
        <f t="shared" si="2"/>
        <v>0.34875009555844355</v>
      </c>
      <c r="S74">
        <v>200</v>
      </c>
      <c r="T74">
        <v>36</v>
      </c>
      <c r="U74" s="3">
        <f t="shared" si="3"/>
        <v>26162</v>
      </c>
      <c r="V74" t="s">
        <v>41</v>
      </c>
      <c r="W74" t="s">
        <v>53</v>
      </c>
      <c r="X74">
        <v>4.9000000000000004</v>
      </c>
      <c r="Y74" t="s">
        <v>43</v>
      </c>
      <c r="Z74">
        <v>750</v>
      </c>
      <c r="AA74" t="s">
        <v>85</v>
      </c>
      <c r="AB74">
        <v>14</v>
      </c>
      <c r="AC74">
        <v>2028</v>
      </c>
      <c r="AD74">
        <v>2042</v>
      </c>
    </row>
    <row r="75" spans="1:30">
      <c r="A75" t="s">
        <v>339</v>
      </c>
      <c r="B75" t="s">
        <v>340</v>
      </c>
      <c r="C75" t="s">
        <v>282</v>
      </c>
      <c r="D75" t="s">
        <v>776</v>
      </c>
      <c r="E75" t="s">
        <v>142</v>
      </c>
      <c r="F75">
        <v>2012</v>
      </c>
      <c r="G75" t="s">
        <v>34</v>
      </c>
      <c r="H75" t="s">
        <v>242</v>
      </c>
      <c r="I75">
        <v>7.4</v>
      </c>
      <c r="J75" t="s">
        <v>36</v>
      </c>
      <c r="K75" t="s">
        <v>37</v>
      </c>
      <c r="L75" t="s">
        <v>50</v>
      </c>
      <c r="M75" t="s">
        <v>38</v>
      </c>
      <c r="N75" t="s">
        <v>341</v>
      </c>
      <c r="O75" t="s">
        <v>118</v>
      </c>
      <c r="P75" s="3">
        <v>233.63</v>
      </c>
      <c r="Q75" s="3">
        <v>157.5</v>
      </c>
      <c r="R75" s="4">
        <f t="shared" si="2"/>
        <v>0.32585712451311905</v>
      </c>
      <c r="S75">
        <v>72</v>
      </c>
      <c r="T75">
        <v>24</v>
      </c>
      <c r="U75" s="3">
        <f t="shared" si="3"/>
        <v>16821.36</v>
      </c>
      <c r="V75" t="s">
        <v>77</v>
      </c>
      <c r="W75" t="s">
        <v>107</v>
      </c>
      <c r="X75">
        <v>4.5999999999999996</v>
      </c>
      <c r="Y75" t="s">
        <v>43</v>
      </c>
      <c r="Z75">
        <v>750</v>
      </c>
      <c r="AA75" t="s">
        <v>61</v>
      </c>
      <c r="AB75">
        <v>18</v>
      </c>
      <c r="AC75">
        <v>2021</v>
      </c>
      <c r="AD75">
        <v>2030</v>
      </c>
    </row>
    <row r="76" spans="1:30">
      <c r="A76" t="s">
        <v>342</v>
      </c>
      <c r="B76" t="s">
        <v>343</v>
      </c>
      <c r="C76" t="s">
        <v>47</v>
      </c>
      <c r="D76" t="s">
        <v>786</v>
      </c>
      <c r="E76" t="s">
        <v>268</v>
      </c>
      <c r="F76">
        <v>2004</v>
      </c>
      <c r="G76" t="s">
        <v>34</v>
      </c>
      <c r="H76" t="s">
        <v>66</v>
      </c>
      <c r="I76">
        <v>13.6</v>
      </c>
      <c r="J76" t="s">
        <v>36</v>
      </c>
      <c r="K76" t="s">
        <v>59</v>
      </c>
      <c r="L76" t="s">
        <v>37</v>
      </c>
      <c r="M76" t="s">
        <v>38</v>
      </c>
      <c r="N76" t="s">
        <v>336</v>
      </c>
      <c r="O76" t="s">
        <v>40</v>
      </c>
      <c r="P76" s="3">
        <v>45.24</v>
      </c>
      <c r="Q76" s="3">
        <v>19.23</v>
      </c>
      <c r="R76" s="4">
        <f t="shared" si="2"/>
        <v>0.57493368700265257</v>
      </c>
      <c r="S76">
        <v>350</v>
      </c>
      <c r="T76">
        <v>24</v>
      </c>
      <c r="U76" s="3">
        <f t="shared" si="3"/>
        <v>15834</v>
      </c>
      <c r="V76" t="s">
        <v>77</v>
      </c>
      <c r="W76" t="s">
        <v>102</v>
      </c>
      <c r="X76">
        <v>4.9000000000000004</v>
      </c>
      <c r="Y76" t="s">
        <v>43</v>
      </c>
      <c r="Z76">
        <v>750</v>
      </c>
      <c r="AA76" t="s">
        <v>85</v>
      </c>
      <c r="AB76">
        <v>8</v>
      </c>
      <c r="AC76">
        <v>2025</v>
      </c>
      <c r="AD76">
        <v>2029</v>
      </c>
    </row>
    <row r="77" spans="1:30">
      <c r="A77" t="s">
        <v>344</v>
      </c>
      <c r="B77" t="s">
        <v>345</v>
      </c>
      <c r="C77" t="s">
        <v>56</v>
      </c>
      <c r="D77" t="s">
        <v>767</v>
      </c>
      <c r="E77" t="s">
        <v>313</v>
      </c>
      <c r="F77">
        <v>1999</v>
      </c>
      <c r="G77" t="s">
        <v>88</v>
      </c>
      <c r="H77" t="s">
        <v>181</v>
      </c>
      <c r="I77">
        <v>10.5</v>
      </c>
      <c r="J77" t="s">
        <v>81</v>
      </c>
      <c r="K77" t="s">
        <v>37</v>
      </c>
      <c r="L77" t="s">
        <v>37</v>
      </c>
      <c r="M77" t="s">
        <v>59</v>
      </c>
      <c r="N77" t="s">
        <v>346</v>
      </c>
      <c r="O77" t="s">
        <v>125</v>
      </c>
      <c r="P77" s="3">
        <v>213.09</v>
      </c>
      <c r="Q77" s="3">
        <v>104.71</v>
      </c>
      <c r="R77" s="4">
        <f t="shared" si="2"/>
        <v>0.508611384860857</v>
      </c>
      <c r="S77">
        <v>0</v>
      </c>
      <c r="T77">
        <v>24</v>
      </c>
      <c r="U77" s="3">
        <f t="shared" si="3"/>
        <v>0</v>
      </c>
      <c r="V77" t="s">
        <v>84</v>
      </c>
      <c r="W77" t="s">
        <v>70</v>
      </c>
      <c r="X77">
        <v>3.9</v>
      </c>
      <c r="Y77" t="s">
        <v>43</v>
      </c>
      <c r="Z77">
        <v>1500</v>
      </c>
      <c r="AA77" t="s">
        <v>61</v>
      </c>
      <c r="AB77">
        <v>12</v>
      </c>
      <c r="AC77">
        <v>2025</v>
      </c>
      <c r="AD77">
        <v>2028</v>
      </c>
    </row>
    <row r="78" spans="1:30">
      <c r="A78" t="s">
        <v>347</v>
      </c>
      <c r="B78" t="s">
        <v>348</v>
      </c>
      <c r="C78" t="s">
        <v>141</v>
      </c>
      <c r="D78" t="s">
        <v>782</v>
      </c>
      <c r="E78" t="s">
        <v>116</v>
      </c>
      <c r="F78">
        <v>2005</v>
      </c>
      <c r="G78" t="s">
        <v>34</v>
      </c>
      <c r="H78" t="s">
        <v>96</v>
      </c>
      <c r="I78">
        <v>13</v>
      </c>
      <c r="J78" t="s">
        <v>36</v>
      </c>
      <c r="K78" t="s">
        <v>59</v>
      </c>
      <c r="L78" t="s">
        <v>37</v>
      </c>
      <c r="M78" t="s">
        <v>38</v>
      </c>
      <c r="N78" t="s">
        <v>349</v>
      </c>
      <c r="O78" t="s">
        <v>52</v>
      </c>
      <c r="P78" s="3">
        <v>116.02</v>
      </c>
      <c r="Q78" s="3">
        <v>64.14</v>
      </c>
      <c r="R78" s="4">
        <f t="shared" si="2"/>
        <v>0.44716428202034131</v>
      </c>
      <c r="S78">
        <v>200</v>
      </c>
      <c r="T78">
        <v>36</v>
      </c>
      <c r="U78" s="3">
        <f t="shared" si="3"/>
        <v>23204</v>
      </c>
      <c r="V78" t="s">
        <v>77</v>
      </c>
      <c r="W78" t="s">
        <v>102</v>
      </c>
      <c r="X78">
        <v>4.8</v>
      </c>
      <c r="Y78" t="s">
        <v>71</v>
      </c>
      <c r="Z78">
        <v>750</v>
      </c>
      <c r="AA78" t="s">
        <v>85</v>
      </c>
      <c r="AB78">
        <v>12</v>
      </c>
      <c r="AC78">
        <v>2021</v>
      </c>
      <c r="AD78">
        <v>2034</v>
      </c>
    </row>
    <row r="79" spans="1:30">
      <c r="A79" t="s">
        <v>350</v>
      </c>
      <c r="B79" t="s">
        <v>351</v>
      </c>
      <c r="C79" t="s">
        <v>282</v>
      </c>
      <c r="D79" t="s">
        <v>756</v>
      </c>
      <c r="E79" t="s">
        <v>122</v>
      </c>
      <c r="F79">
        <v>2013</v>
      </c>
      <c r="G79" t="s">
        <v>134</v>
      </c>
      <c r="H79" t="s">
        <v>143</v>
      </c>
      <c r="I79">
        <v>7.6</v>
      </c>
      <c r="J79" t="s">
        <v>136</v>
      </c>
      <c r="K79" t="s">
        <v>50</v>
      </c>
      <c r="L79" t="s">
        <v>37</v>
      </c>
      <c r="M79" t="s">
        <v>59</v>
      </c>
      <c r="N79" t="s">
        <v>302</v>
      </c>
      <c r="O79" t="s">
        <v>257</v>
      </c>
      <c r="P79" s="3">
        <v>160.81</v>
      </c>
      <c r="Q79" s="3">
        <v>70.37</v>
      </c>
      <c r="R79" s="4">
        <f t="shared" si="2"/>
        <v>0.5624028356445494</v>
      </c>
      <c r="S79">
        <v>0</v>
      </c>
      <c r="T79">
        <v>24</v>
      </c>
      <c r="U79" s="3">
        <f t="shared" si="3"/>
        <v>0</v>
      </c>
      <c r="V79" t="s">
        <v>84</v>
      </c>
      <c r="W79" t="s">
        <v>70</v>
      </c>
      <c r="X79">
        <v>4.8</v>
      </c>
      <c r="Y79" t="s">
        <v>43</v>
      </c>
      <c r="Z79">
        <v>750</v>
      </c>
      <c r="AA79" t="s">
        <v>44</v>
      </c>
      <c r="AB79">
        <v>14</v>
      </c>
      <c r="AC79">
        <v>2028</v>
      </c>
      <c r="AD79">
        <v>2038</v>
      </c>
    </row>
    <row r="80" spans="1:30">
      <c r="A80" t="s">
        <v>352</v>
      </c>
      <c r="B80" t="s">
        <v>353</v>
      </c>
      <c r="C80" t="s">
        <v>74</v>
      </c>
      <c r="D80" t="s">
        <v>777</v>
      </c>
      <c r="E80" t="s">
        <v>233</v>
      </c>
      <c r="F80">
        <v>2021</v>
      </c>
      <c r="G80" t="s">
        <v>88</v>
      </c>
      <c r="H80" t="s">
        <v>135</v>
      </c>
      <c r="I80">
        <v>10.4</v>
      </c>
      <c r="J80" t="s">
        <v>36</v>
      </c>
      <c r="K80" t="s">
        <v>59</v>
      </c>
      <c r="L80" t="s">
        <v>37</v>
      </c>
      <c r="M80" t="s">
        <v>59</v>
      </c>
      <c r="N80" t="s">
        <v>253</v>
      </c>
      <c r="O80" t="s">
        <v>91</v>
      </c>
      <c r="P80" s="3">
        <v>300.73</v>
      </c>
      <c r="Q80" s="3">
        <v>113.17</v>
      </c>
      <c r="R80" s="4">
        <f t="shared" si="2"/>
        <v>0.62368237289262796</v>
      </c>
      <c r="S80">
        <v>72</v>
      </c>
      <c r="T80">
        <v>24</v>
      </c>
      <c r="U80" s="3">
        <f t="shared" si="3"/>
        <v>21652.560000000001</v>
      </c>
      <c r="V80" t="s">
        <v>41</v>
      </c>
      <c r="W80" t="s">
        <v>42</v>
      </c>
      <c r="X80">
        <v>3.3</v>
      </c>
      <c r="Y80" t="s">
        <v>43</v>
      </c>
      <c r="Z80">
        <v>375</v>
      </c>
      <c r="AA80" t="s">
        <v>44</v>
      </c>
      <c r="AB80">
        <v>12</v>
      </c>
      <c r="AC80">
        <v>2025</v>
      </c>
      <c r="AD80">
        <v>2028</v>
      </c>
    </row>
    <row r="81" spans="1:30">
      <c r="A81" t="s">
        <v>354</v>
      </c>
      <c r="B81" t="s">
        <v>355</v>
      </c>
      <c r="C81" t="s">
        <v>56</v>
      </c>
      <c r="D81" t="s">
        <v>790</v>
      </c>
      <c r="E81" t="s">
        <v>313</v>
      </c>
      <c r="F81" t="s">
        <v>150</v>
      </c>
      <c r="G81" t="s">
        <v>151</v>
      </c>
      <c r="H81" t="s">
        <v>285</v>
      </c>
      <c r="I81">
        <v>12.6</v>
      </c>
      <c r="J81" t="s">
        <v>81</v>
      </c>
      <c r="K81" t="s">
        <v>37</v>
      </c>
      <c r="L81" t="s">
        <v>37</v>
      </c>
      <c r="M81" t="s">
        <v>67</v>
      </c>
      <c r="N81" t="s">
        <v>293</v>
      </c>
      <c r="O81" t="s">
        <v>356</v>
      </c>
      <c r="P81" s="3">
        <v>1301.08</v>
      </c>
      <c r="Q81" s="3">
        <v>834.96</v>
      </c>
      <c r="R81" s="4">
        <f t="shared" si="2"/>
        <v>0.35825621791127366</v>
      </c>
      <c r="S81">
        <v>12</v>
      </c>
      <c r="T81">
        <v>6</v>
      </c>
      <c r="U81" s="3">
        <f t="shared" si="3"/>
        <v>15612.96</v>
      </c>
      <c r="V81" t="s">
        <v>41</v>
      </c>
      <c r="W81" t="s">
        <v>107</v>
      </c>
      <c r="X81">
        <v>4.0999999999999996</v>
      </c>
      <c r="Y81" t="s">
        <v>71</v>
      </c>
      <c r="Z81">
        <v>1500</v>
      </c>
      <c r="AA81" t="s">
        <v>44</v>
      </c>
      <c r="AB81">
        <v>14</v>
      </c>
      <c r="AC81">
        <v>2024</v>
      </c>
      <c r="AD81">
        <v>2035</v>
      </c>
    </row>
    <row r="82" spans="1:30">
      <c r="A82" t="s">
        <v>357</v>
      </c>
      <c r="B82" t="s">
        <v>358</v>
      </c>
      <c r="C82" t="s">
        <v>148</v>
      </c>
      <c r="D82" t="s">
        <v>759</v>
      </c>
      <c r="E82" t="s">
        <v>219</v>
      </c>
      <c r="F82">
        <v>2003</v>
      </c>
      <c r="G82" t="s">
        <v>34</v>
      </c>
      <c r="H82" t="s">
        <v>58</v>
      </c>
      <c r="I82">
        <v>12.2</v>
      </c>
      <c r="J82" t="s">
        <v>36</v>
      </c>
      <c r="K82" t="s">
        <v>50</v>
      </c>
      <c r="L82" t="s">
        <v>50</v>
      </c>
      <c r="M82" t="s">
        <v>38</v>
      </c>
      <c r="N82" t="s">
        <v>166</v>
      </c>
      <c r="O82" t="s">
        <v>52</v>
      </c>
      <c r="P82" s="3">
        <v>224.58</v>
      </c>
      <c r="Q82" s="3">
        <v>126.8</v>
      </c>
      <c r="R82" s="4">
        <f t="shared" si="2"/>
        <v>0.43539050672366197</v>
      </c>
      <c r="S82">
        <v>350</v>
      </c>
      <c r="T82">
        <v>50</v>
      </c>
      <c r="U82" s="3">
        <f t="shared" si="3"/>
        <v>78603</v>
      </c>
      <c r="V82" t="s">
        <v>41</v>
      </c>
      <c r="W82" t="s">
        <v>42</v>
      </c>
      <c r="X82">
        <v>4.3</v>
      </c>
      <c r="Y82" t="s">
        <v>43</v>
      </c>
      <c r="Z82">
        <v>750</v>
      </c>
      <c r="AA82" t="s">
        <v>44</v>
      </c>
      <c r="AB82">
        <v>10</v>
      </c>
      <c r="AC82">
        <v>2026</v>
      </c>
      <c r="AD82">
        <v>2037</v>
      </c>
    </row>
    <row r="83" spans="1:30">
      <c r="A83" t="s">
        <v>359</v>
      </c>
      <c r="B83" t="s">
        <v>360</v>
      </c>
      <c r="C83" t="s">
        <v>282</v>
      </c>
      <c r="D83" t="s">
        <v>780</v>
      </c>
      <c r="E83" t="s">
        <v>361</v>
      </c>
      <c r="F83">
        <v>2000</v>
      </c>
      <c r="G83" t="s">
        <v>65</v>
      </c>
      <c r="H83" t="s">
        <v>80</v>
      </c>
      <c r="I83">
        <v>8.8000000000000007</v>
      </c>
      <c r="J83" t="s">
        <v>81</v>
      </c>
      <c r="K83" t="s">
        <v>50</v>
      </c>
      <c r="L83" t="s">
        <v>37</v>
      </c>
      <c r="M83" t="s">
        <v>67</v>
      </c>
      <c r="N83" t="s">
        <v>362</v>
      </c>
      <c r="O83" t="s">
        <v>230</v>
      </c>
      <c r="P83" s="3">
        <v>215.17</v>
      </c>
      <c r="Q83" s="3">
        <v>95.91</v>
      </c>
      <c r="R83" s="4">
        <f t="shared" si="2"/>
        <v>0.55425942278198637</v>
      </c>
      <c r="S83">
        <v>72</v>
      </c>
      <c r="T83">
        <v>12</v>
      </c>
      <c r="U83" s="3">
        <f t="shared" si="3"/>
        <v>15492.24</v>
      </c>
      <c r="V83" t="s">
        <v>41</v>
      </c>
      <c r="W83" t="s">
        <v>102</v>
      </c>
      <c r="X83">
        <v>4</v>
      </c>
      <c r="Y83" t="s">
        <v>43</v>
      </c>
      <c r="Z83">
        <v>750</v>
      </c>
      <c r="AA83" t="s">
        <v>85</v>
      </c>
      <c r="AB83">
        <v>16</v>
      </c>
      <c r="AC83">
        <v>2022</v>
      </c>
      <c r="AD83">
        <v>2027</v>
      </c>
    </row>
    <row r="84" spans="1:30">
      <c r="A84" t="s">
        <v>363</v>
      </c>
      <c r="B84" t="s">
        <v>364</v>
      </c>
      <c r="C84" t="s">
        <v>115</v>
      </c>
      <c r="D84" t="s">
        <v>787</v>
      </c>
      <c r="E84" t="s">
        <v>274</v>
      </c>
      <c r="F84">
        <v>2015</v>
      </c>
      <c r="G84" t="s">
        <v>34</v>
      </c>
      <c r="H84" t="s">
        <v>96</v>
      </c>
      <c r="I84">
        <v>8.3000000000000007</v>
      </c>
      <c r="J84" t="s">
        <v>36</v>
      </c>
      <c r="K84" t="s">
        <v>37</v>
      </c>
      <c r="L84" t="s">
        <v>50</v>
      </c>
      <c r="M84" t="s">
        <v>38</v>
      </c>
      <c r="N84" t="s">
        <v>112</v>
      </c>
      <c r="O84" t="s">
        <v>40</v>
      </c>
      <c r="P84" s="3">
        <v>406.53</v>
      </c>
      <c r="Q84" s="3">
        <v>191.73</v>
      </c>
      <c r="R84" s="4">
        <f t="shared" si="2"/>
        <v>0.52837428972031586</v>
      </c>
      <c r="S84">
        <v>2</v>
      </c>
      <c r="T84">
        <v>6</v>
      </c>
      <c r="U84" s="3">
        <f t="shared" si="3"/>
        <v>813.06</v>
      </c>
      <c r="V84" t="s">
        <v>41</v>
      </c>
      <c r="W84" t="s">
        <v>107</v>
      </c>
      <c r="X84">
        <v>3.9</v>
      </c>
      <c r="Y84" t="s">
        <v>71</v>
      </c>
      <c r="Z84">
        <v>1500</v>
      </c>
      <c r="AA84" t="s">
        <v>61</v>
      </c>
      <c r="AB84">
        <v>14</v>
      </c>
      <c r="AC84">
        <v>2021</v>
      </c>
      <c r="AD84">
        <v>2024</v>
      </c>
    </row>
    <row r="85" spans="1:30">
      <c r="A85" t="s">
        <v>365</v>
      </c>
      <c r="B85" t="s">
        <v>366</v>
      </c>
      <c r="C85" t="s">
        <v>56</v>
      </c>
      <c r="D85" t="s">
        <v>788</v>
      </c>
      <c r="E85" t="s">
        <v>133</v>
      </c>
      <c r="F85">
        <v>2013</v>
      </c>
      <c r="G85" t="s">
        <v>88</v>
      </c>
      <c r="H85" t="s">
        <v>193</v>
      </c>
      <c r="I85">
        <v>12.2</v>
      </c>
      <c r="J85" t="s">
        <v>36</v>
      </c>
      <c r="K85" t="s">
        <v>50</v>
      </c>
      <c r="L85" t="s">
        <v>37</v>
      </c>
      <c r="M85" t="s">
        <v>59</v>
      </c>
      <c r="N85" t="s">
        <v>90</v>
      </c>
      <c r="O85" t="s">
        <v>91</v>
      </c>
      <c r="P85" s="3">
        <v>211.4</v>
      </c>
      <c r="Q85" s="3">
        <v>133.13999999999999</v>
      </c>
      <c r="R85" s="4">
        <f t="shared" si="2"/>
        <v>0.37019867549668883</v>
      </c>
      <c r="S85">
        <v>0</v>
      </c>
      <c r="T85">
        <v>24</v>
      </c>
      <c r="U85" s="3">
        <f t="shared" si="3"/>
        <v>0</v>
      </c>
      <c r="V85" t="s">
        <v>84</v>
      </c>
      <c r="W85" t="s">
        <v>53</v>
      </c>
      <c r="X85">
        <v>3.7</v>
      </c>
      <c r="Y85" t="s">
        <v>43</v>
      </c>
      <c r="Z85">
        <v>375</v>
      </c>
      <c r="AA85" t="s">
        <v>44</v>
      </c>
      <c r="AB85">
        <v>10</v>
      </c>
      <c r="AC85">
        <v>2028</v>
      </c>
      <c r="AD85">
        <v>2031</v>
      </c>
    </row>
    <row r="86" spans="1:30">
      <c r="A86" t="s">
        <v>367</v>
      </c>
      <c r="B86" t="s">
        <v>368</v>
      </c>
      <c r="C86" t="s">
        <v>32</v>
      </c>
      <c r="D86" t="s">
        <v>777</v>
      </c>
      <c r="E86" t="s">
        <v>33</v>
      </c>
      <c r="F86">
        <v>2020</v>
      </c>
      <c r="G86" t="s">
        <v>34</v>
      </c>
      <c r="H86" t="s">
        <v>49</v>
      </c>
      <c r="I86">
        <v>7.7</v>
      </c>
      <c r="J86" t="s">
        <v>36</v>
      </c>
      <c r="K86" t="s">
        <v>50</v>
      </c>
      <c r="L86" t="s">
        <v>59</v>
      </c>
      <c r="M86" t="s">
        <v>38</v>
      </c>
      <c r="N86" t="s">
        <v>369</v>
      </c>
      <c r="O86" t="s">
        <v>52</v>
      </c>
      <c r="P86" s="3">
        <v>176.6</v>
      </c>
      <c r="Q86" s="3">
        <v>115.7</v>
      </c>
      <c r="R86" s="4">
        <f t="shared" si="2"/>
        <v>0.34484711211778024</v>
      </c>
      <c r="S86">
        <v>5</v>
      </c>
      <c r="T86">
        <v>12</v>
      </c>
      <c r="U86" s="3">
        <f t="shared" si="3"/>
        <v>883</v>
      </c>
      <c r="V86" t="s">
        <v>41</v>
      </c>
      <c r="W86" t="s">
        <v>70</v>
      </c>
      <c r="X86">
        <v>4.8</v>
      </c>
      <c r="Y86" t="s">
        <v>43</v>
      </c>
      <c r="Z86">
        <v>750</v>
      </c>
      <c r="AA86" t="s">
        <v>44</v>
      </c>
      <c r="AB86">
        <v>14</v>
      </c>
      <c r="AC86">
        <v>2023</v>
      </c>
      <c r="AD86">
        <v>2031</v>
      </c>
    </row>
    <row r="87" spans="1:30">
      <c r="A87" t="s">
        <v>370</v>
      </c>
      <c r="B87" t="s">
        <v>371</v>
      </c>
      <c r="C87" t="s">
        <v>74</v>
      </c>
      <c r="D87" t="s">
        <v>784</v>
      </c>
      <c r="E87" t="s">
        <v>75</v>
      </c>
      <c r="F87">
        <v>2023</v>
      </c>
      <c r="G87" t="s">
        <v>34</v>
      </c>
      <c r="H87" t="s">
        <v>96</v>
      </c>
      <c r="I87">
        <v>15.1</v>
      </c>
      <c r="J87" t="s">
        <v>36</v>
      </c>
      <c r="K87" t="s">
        <v>50</v>
      </c>
      <c r="L87" t="s">
        <v>37</v>
      </c>
      <c r="M87" t="s">
        <v>38</v>
      </c>
      <c r="N87" t="s">
        <v>372</v>
      </c>
      <c r="O87" t="s">
        <v>40</v>
      </c>
      <c r="P87" s="3">
        <v>127.73</v>
      </c>
      <c r="Q87" s="3">
        <v>67.98</v>
      </c>
      <c r="R87" s="4">
        <f t="shared" si="2"/>
        <v>0.46778360604399905</v>
      </c>
      <c r="S87">
        <v>5</v>
      </c>
      <c r="T87">
        <v>12</v>
      </c>
      <c r="U87" s="3">
        <f t="shared" si="3"/>
        <v>638.65</v>
      </c>
      <c r="V87" t="s">
        <v>41</v>
      </c>
      <c r="W87" t="s">
        <v>70</v>
      </c>
      <c r="X87">
        <v>3.7</v>
      </c>
      <c r="Y87" t="s">
        <v>43</v>
      </c>
      <c r="Z87">
        <v>375</v>
      </c>
      <c r="AA87" t="s">
        <v>61</v>
      </c>
      <c r="AB87">
        <v>12</v>
      </c>
      <c r="AC87">
        <v>2026</v>
      </c>
      <c r="AD87">
        <v>2030</v>
      </c>
    </row>
    <row r="88" spans="1:30">
      <c r="A88" t="s">
        <v>373</v>
      </c>
      <c r="B88" t="s">
        <v>374</v>
      </c>
      <c r="C88" t="s">
        <v>115</v>
      </c>
      <c r="D88" t="s">
        <v>757</v>
      </c>
      <c r="E88" t="s">
        <v>122</v>
      </c>
      <c r="F88">
        <v>2006</v>
      </c>
      <c r="G88" t="s">
        <v>65</v>
      </c>
      <c r="H88" t="s">
        <v>211</v>
      </c>
      <c r="I88">
        <v>13.2</v>
      </c>
      <c r="J88" t="s">
        <v>36</v>
      </c>
      <c r="K88" t="s">
        <v>59</v>
      </c>
      <c r="L88" t="s">
        <v>37</v>
      </c>
      <c r="M88" t="s">
        <v>67</v>
      </c>
      <c r="N88" t="s">
        <v>157</v>
      </c>
      <c r="O88" t="s">
        <v>83</v>
      </c>
      <c r="P88" s="3">
        <v>164.95</v>
      </c>
      <c r="Q88" s="3">
        <v>98.17</v>
      </c>
      <c r="R88" s="4">
        <f t="shared" si="2"/>
        <v>0.40484995453167621</v>
      </c>
      <c r="S88">
        <v>12</v>
      </c>
      <c r="T88">
        <v>36</v>
      </c>
      <c r="U88" s="3">
        <f t="shared" si="3"/>
        <v>1979.3999999999999</v>
      </c>
      <c r="V88" t="s">
        <v>41</v>
      </c>
      <c r="W88" t="s">
        <v>102</v>
      </c>
      <c r="X88">
        <v>4.4000000000000004</v>
      </c>
      <c r="Y88" t="s">
        <v>43</v>
      </c>
      <c r="Z88">
        <v>750</v>
      </c>
      <c r="AA88" t="s">
        <v>85</v>
      </c>
      <c r="AB88">
        <v>8</v>
      </c>
      <c r="AC88">
        <v>2028</v>
      </c>
      <c r="AD88">
        <v>2034</v>
      </c>
    </row>
    <row r="89" spans="1:30">
      <c r="A89" t="s">
        <v>375</v>
      </c>
      <c r="B89" t="s">
        <v>376</v>
      </c>
      <c r="C89" t="s">
        <v>47</v>
      </c>
      <c r="D89" t="s">
        <v>766</v>
      </c>
      <c r="E89" t="s">
        <v>165</v>
      </c>
      <c r="F89">
        <v>2011</v>
      </c>
      <c r="G89" t="s">
        <v>34</v>
      </c>
      <c r="H89" t="s">
        <v>49</v>
      </c>
      <c r="I89">
        <v>15.6</v>
      </c>
      <c r="J89" t="s">
        <v>81</v>
      </c>
      <c r="K89" t="s">
        <v>37</v>
      </c>
      <c r="L89" t="s">
        <v>37</v>
      </c>
      <c r="M89" t="s">
        <v>38</v>
      </c>
      <c r="N89" t="s">
        <v>250</v>
      </c>
      <c r="O89" t="s">
        <v>118</v>
      </c>
      <c r="P89" s="3">
        <v>100.3</v>
      </c>
      <c r="Q89" s="3">
        <v>70.62</v>
      </c>
      <c r="R89" s="4">
        <f t="shared" si="2"/>
        <v>0.29591226321036884</v>
      </c>
      <c r="S89">
        <v>36</v>
      </c>
      <c r="T89">
        <v>12</v>
      </c>
      <c r="U89" s="3">
        <f t="shared" si="3"/>
        <v>3610.7999999999997</v>
      </c>
      <c r="V89" t="s">
        <v>41</v>
      </c>
      <c r="W89" t="s">
        <v>42</v>
      </c>
      <c r="X89">
        <v>4.8</v>
      </c>
      <c r="Y89" t="s">
        <v>43</v>
      </c>
      <c r="Z89">
        <v>750</v>
      </c>
      <c r="AA89" t="s">
        <v>44</v>
      </c>
      <c r="AB89">
        <v>14</v>
      </c>
      <c r="AC89">
        <v>2025</v>
      </c>
      <c r="AD89">
        <v>2034</v>
      </c>
    </row>
    <row r="90" spans="1:30">
      <c r="A90" t="s">
        <v>377</v>
      </c>
      <c r="B90" t="s">
        <v>378</v>
      </c>
      <c r="C90" t="s">
        <v>115</v>
      </c>
      <c r="D90" t="s">
        <v>791</v>
      </c>
      <c r="E90" t="s">
        <v>75</v>
      </c>
      <c r="F90">
        <v>2002</v>
      </c>
      <c r="G90" t="s">
        <v>34</v>
      </c>
      <c r="H90" t="s">
        <v>242</v>
      </c>
      <c r="I90">
        <v>14</v>
      </c>
      <c r="J90" t="s">
        <v>36</v>
      </c>
      <c r="K90" t="s">
        <v>37</v>
      </c>
      <c r="L90" t="s">
        <v>50</v>
      </c>
      <c r="M90" t="s">
        <v>38</v>
      </c>
      <c r="N90" t="s">
        <v>60</v>
      </c>
      <c r="O90" t="s">
        <v>52</v>
      </c>
      <c r="P90" s="3">
        <v>256.10000000000002</v>
      </c>
      <c r="Q90" s="3">
        <v>114.8</v>
      </c>
      <c r="R90" s="4">
        <f t="shared" si="2"/>
        <v>0.55173760249902382</v>
      </c>
      <c r="S90">
        <v>350</v>
      </c>
      <c r="T90">
        <v>36</v>
      </c>
      <c r="U90" s="3">
        <f t="shared" si="3"/>
        <v>89635.000000000015</v>
      </c>
      <c r="V90" t="s">
        <v>41</v>
      </c>
      <c r="W90" t="s">
        <v>53</v>
      </c>
      <c r="X90">
        <v>3.6</v>
      </c>
      <c r="Y90" t="s">
        <v>43</v>
      </c>
      <c r="Z90">
        <v>750</v>
      </c>
      <c r="AA90" t="s">
        <v>61</v>
      </c>
      <c r="AB90">
        <v>8</v>
      </c>
      <c r="AC90">
        <v>2021</v>
      </c>
      <c r="AD90">
        <v>2027</v>
      </c>
    </row>
    <row r="91" spans="1:30">
      <c r="A91" t="s">
        <v>379</v>
      </c>
      <c r="B91" t="s">
        <v>380</v>
      </c>
      <c r="C91" t="s">
        <v>141</v>
      </c>
      <c r="D91" t="s">
        <v>755</v>
      </c>
      <c r="E91" t="s">
        <v>298</v>
      </c>
      <c r="F91">
        <v>2004</v>
      </c>
      <c r="G91" t="s">
        <v>88</v>
      </c>
      <c r="H91" t="s">
        <v>193</v>
      </c>
      <c r="I91">
        <v>10.6</v>
      </c>
      <c r="J91" t="s">
        <v>36</v>
      </c>
      <c r="K91" t="s">
        <v>59</v>
      </c>
      <c r="L91" t="s">
        <v>37</v>
      </c>
      <c r="M91" t="s">
        <v>59</v>
      </c>
      <c r="N91" t="s">
        <v>381</v>
      </c>
      <c r="O91" t="s">
        <v>195</v>
      </c>
      <c r="P91" s="3">
        <v>163.84</v>
      </c>
      <c r="Q91" s="3">
        <v>62.42</v>
      </c>
      <c r="R91" s="4">
        <f t="shared" si="2"/>
        <v>0.6190185546875</v>
      </c>
      <c r="S91">
        <v>1000</v>
      </c>
      <c r="T91">
        <v>24</v>
      </c>
      <c r="U91" s="3">
        <f t="shared" si="3"/>
        <v>163840</v>
      </c>
      <c r="V91" t="s">
        <v>41</v>
      </c>
      <c r="W91" t="s">
        <v>42</v>
      </c>
      <c r="X91">
        <v>4.9000000000000004</v>
      </c>
      <c r="Y91" t="s">
        <v>43</v>
      </c>
      <c r="Z91">
        <v>750</v>
      </c>
      <c r="AA91" t="s">
        <v>61</v>
      </c>
      <c r="AB91">
        <v>16</v>
      </c>
      <c r="AC91">
        <v>2025</v>
      </c>
      <c r="AD91">
        <v>2035</v>
      </c>
    </row>
    <row r="92" spans="1:30">
      <c r="A92" t="s">
        <v>382</v>
      </c>
      <c r="B92" t="s">
        <v>383</v>
      </c>
      <c r="C92" t="s">
        <v>74</v>
      </c>
      <c r="D92" t="s">
        <v>773</v>
      </c>
      <c r="E92" t="s">
        <v>188</v>
      </c>
      <c r="F92">
        <v>2007</v>
      </c>
      <c r="G92" t="s">
        <v>34</v>
      </c>
      <c r="H92" t="s">
        <v>242</v>
      </c>
      <c r="I92">
        <v>15.2</v>
      </c>
      <c r="J92" t="s">
        <v>36</v>
      </c>
      <c r="K92" t="s">
        <v>50</v>
      </c>
      <c r="L92" t="s">
        <v>37</v>
      </c>
      <c r="M92" t="s">
        <v>38</v>
      </c>
      <c r="N92" t="s">
        <v>384</v>
      </c>
      <c r="O92" t="s">
        <v>52</v>
      </c>
      <c r="P92" s="3">
        <v>73.040000000000006</v>
      </c>
      <c r="Q92" s="3">
        <v>32.71</v>
      </c>
      <c r="R92" s="4">
        <f t="shared" si="2"/>
        <v>0.55216319824753557</v>
      </c>
      <c r="S92">
        <v>36</v>
      </c>
      <c r="T92">
        <v>12</v>
      </c>
      <c r="U92" s="3">
        <f t="shared" si="3"/>
        <v>2629.44</v>
      </c>
      <c r="V92" t="s">
        <v>41</v>
      </c>
      <c r="W92" t="s">
        <v>42</v>
      </c>
      <c r="X92">
        <v>3.4</v>
      </c>
      <c r="Y92" t="s">
        <v>43</v>
      </c>
      <c r="Z92">
        <v>750</v>
      </c>
      <c r="AA92" t="s">
        <v>44</v>
      </c>
      <c r="AB92">
        <v>16</v>
      </c>
      <c r="AC92">
        <v>2021</v>
      </c>
      <c r="AD92">
        <v>2027</v>
      </c>
    </row>
    <row r="93" spans="1:30">
      <c r="A93" t="s">
        <v>385</v>
      </c>
      <c r="B93" t="s">
        <v>386</v>
      </c>
      <c r="C93" t="s">
        <v>115</v>
      </c>
      <c r="D93" t="s">
        <v>789</v>
      </c>
      <c r="E93" t="s">
        <v>260</v>
      </c>
      <c r="F93">
        <v>2018</v>
      </c>
      <c r="G93" t="s">
        <v>88</v>
      </c>
      <c r="H93" t="s">
        <v>135</v>
      </c>
      <c r="I93">
        <v>7.6</v>
      </c>
      <c r="J93" t="s">
        <v>36</v>
      </c>
      <c r="K93" t="s">
        <v>37</v>
      </c>
      <c r="L93" t="s">
        <v>37</v>
      </c>
      <c r="M93" t="s">
        <v>59</v>
      </c>
      <c r="N93" t="s">
        <v>387</v>
      </c>
      <c r="O93" t="s">
        <v>195</v>
      </c>
      <c r="P93" s="3">
        <v>267.08</v>
      </c>
      <c r="Q93" s="3">
        <v>146.54</v>
      </c>
      <c r="R93" s="4">
        <f t="shared" si="2"/>
        <v>0.45132544555938298</v>
      </c>
      <c r="S93">
        <v>1000</v>
      </c>
      <c r="T93">
        <v>36</v>
      </c>
      <c r="U93" s="3">
        <f t="shared" si="3"/>
        <v>267080</v>
      </c>
      <c r="V93" t="s">
        <v>77</v>
      </c>
      <c r="W93" t="s">
        <v>70</v>
      </c>
      <c r="X93">
        <v>4</v>
      </c>
      <c r="Y93" t="s">
        <v>71</v>
      </c>
      <c r="Z93">
        <v>375</v>
      </c>
      <c r="AA93" t="s">
        <v>44</v>
      </c>
      <c r="AB93">
        <v>8</v>
      </c>
      <c r="AC93">
        <v>2021</v>
      </c>
      <c r="AD93">
        <v>2032</v>
      </c>
    </row>
    <row r="94" spans="1:30">
      <c r="A94" t="s">
        <v>388</v>
      </c>
      <c r="B94" t="s">
        <v>389</v>
      </c>
      <c r="C94" t="s">
        <v>74</v>
      </c>
      <c r="D94" t="s">
        <v>768</v>
      </c>
      <c r="E94" t="s">
        <v>116</v>
      </c>
      <c r="F94">
        <v>2016</v>
      </c>
      <c r="G94" t="s">
        <v>88</v>
      </c>
      <c r="H94" t="s">
        <v>161</v>
      </c>
      <c r="I94">
        <v>14.5</v>
      </c>
      <c r="J94" t="s">
        <v>81</v>
      </c>
      <c r="K94" t="s">
        <v>59</v>
      </c>
      <c r="L94" t="s">
        <v>37</v>
      </c>
      <c r="M94" t="s">
        <v>59</v>
      </c>
      <c r="N94" t="s">
        <v>390</v>
      </c>
      <c r="O94" t="s">
        <v>125</v>
      </c>
      <c r="P94" s="3">
        <v>95.56</v>
      </c>
      <c r="Q94" s="3">
        <v>51.79</v>
      </c>
      <c r="R94" s="4">
        <f t="shared" si="2"/>
        <v>0.45803683549602348</v>
      </c>
      <c r="S94">
        <v>0</v>
      </c>
      <c r="T94">
        <v>12</v>
      </c>
      <c r="U94" s="3">
        <f t="shared" si="3"/>
        <v>0</v>
      </c>
      <c r="V94" t="s">
        <v>84</v>
      </c>
      <c r="W94" t="s">
        <v>42</v>
      </c>
      <c r="X94">
        <v>4.8</v>
      </c>
      <c r="Y94" t="s">
        <v>43</v>
      </c>
      <c r="Z94">
        <v>750</v>
      </c>
      <c r="AA94" t="s">
        <v>85</v>
      </c>
      <c r="AB94">
        <v>8</v>
      </c>
      <c r="AC94">
        <v>2024</v>
      </c>
      <c r="AD94">
        <v>2033</v>
      </c>
    </row>
    <row r="95" spans="1:30">
      <c r="A95" t="s">
        <v>391</v>
      </c>
      <c r="B95" t="s">
        <v>392</v>
      </c>
      <c r="C95" t="s">
        <v>74</v>
      </c>
      <c r="D95" t="s">
        <v>787</v>
      </c>
      <c r="E95" t="s">
        <v>33</v>
      </c>
      <c r="F95">
        <v>2010</v>
      </c>
      <c r="G95" t="s">
        <v>65</v>
      </c>
      <c r="H95" t="s">
        <v>80</v>
      </c>
      <c r="I95">
        <v>15</v>
      </c>
      <c r="J95" t="s">
        <v>81</v>
      </c>
      <c r="K95" t="s">
        <v>50</v>
      </c>
      <c r="L95" t="s">
        <v>37</v>
      </c>
      <c r="M95" t="s">
        <v>67</v>
      </c>
      <c r="N95" t="s">
        <v>393</v>
      </c>
      <c r="O95" t="s">
        <v>230</v>
      </c>
      <c r="P95" s="3">
        <v>121.89</v>
      </c>
      <c r="Q95" s="3">
        <v>86.11</v>
      </c>
      <c r="R95" s="4">
        <f t="shared" si="2"/>
        <v>0.2935433587661006</v>
      </c>
      <c r="S95">
        <v>48</v>
      </c>
      <c r="T95">
        <v>36</v>
      </c>
      <c r="U95" s="3">
        <f t="shared" si="3"/>
        <v>5850.72</v>
      </c>
      <c r="V95" t="s">
        <v>41</v>
      </c>
      <c r="W95" t="s">
        <v>42</v>
      </c>
      <c r="X95">
        <v>4.9000000000000004</v>
      </c>
      <c r="Y95" t="s">
        <v>43</v>
      </c>
      <c r="Z95">
        <v>750</v>
      </c>
      <c r="AA95" t="s">
        <v>61</v>
      </c>
      <c r="AB95">
        <v>18</v>
      </c>
      <c r="AC95">
        <v>2022</v>
      </c>
      <c r="AD95">
        <v>2027</v>
      </c>
    </row>
    <row r="96" spans="1:30">
      <c r="A96" t="s">
        <v>394</v>
      </c>
      <c r="B96" t="s">
        <v>395</v>
      </c>
      <c r="C96" t="s">
        <v>94</v>
      </c>
      <c r="D96" t="s">
        <v>770</v>
      </c>
      <c r="E96" t="s">
        <v>313</v>
      </c>
      <c r="F96">
        <v>2023</v>
      </c>
      <c r="G96" t="s">
        <v>151</v>
      </c>
      <c r="H96" t="s">
        <v>285</v>
      </c>
      <c r="I96">
        <v>9.4</v>
      </c>
      <c r="J96" t="s">
        <v>36</v>
      </c>
      <c r="K96" t="s">
        <v>59</v>
      </c>
      <c r="L96" t="s">
        <v>37</v>
      </c>
      <c r="M96" t="s">
        <v>67</v>
      </c>
      <c r="N96" t="s">
        <v>396</v>
      </c>
      <c r="O96" t="s">
        <v>190</v>
      </c>
      <c r="P96" s="3">
        <v>62.42</v>
      </c>
      <c r="Q96" s="3">
        <v>39.28</v>
      </c>
      <c r="R96" s="4">
        <f t="shared" si="2"/>
        <v>0.37071451457866067</v>
      </c>
      <c r="S96">
        <v>0</v>
      </c>
      <c r="T96">
        <v>50</v>
      </c>
      <c r="U96" s="3">
        <f t="shared" si="3"/>
        <v>0</v>
      </c>
      <c r="V96" t="s">
        <v>84</v>
      </c>
      <c r="W96" t="s">
        <v>42</v>
      </c>
      <c r="X96">
        <v>3.6</v>
      </c>
      <c r="Y96" t="s">
        <v>43</v>
      </c>
      <c r="Z96">
        <v>750</v>
      </c>
      <c r="AA96" t="s">
        <v>44</v>
      </c>
      <c r="AB96">
        <v>16</v>
      </c>
      <c r="AC96">
        <v>2023</v>
      </c>
      <c r="AD96">
        <v>2037</v>
      </c>
    </row>
    <row r="97" spans="1:30">
      <c r="A97" t="s">
        <v>397</v>
      </c>
      <c r="B97" t="s">
        <v>398</v>
      </c>
      <c r="C97" t="s">
        <v>115</v>
      </c>
      <c r="D97" t="s">
        <v>786</v>
      </c>
      <c r="E97" t="s">
        <v>165</v>
      </c>
      <c r="F97">
        <v>2020</v>
      </c>
      <c r="G97" t="s">
        <v>88</v>
      </c>
      <c r="H97" t="s">
        <v>152</v>
      </c>
      <c r="I97">
        <v>9.6</v>
      </c>
      <c r="J97" t="s">
        <v>36</v>
      </c>
      <c r="K97" t="s">
        <v>50</v>
      </c>
      <c r="L97" t="s">
        <v>37</v>
      </c>
      <c r="M97" t="s">
        <v>59</v>
      </c>
      <c r="N97" t="s">
        <v>381</v>
      </c>
      <c r="O97" t="s">
        <v>125</v>
      </c>
      <c r="P97" s="3">
        <v>203.33</v>
      </c>
      <c r="Q97" s="3">
        <v>85.53</v>
      </c>
      <c r="R97" s="4">
        <f t="shared" si="2"/>
        <v>0.57935375989770321</v>
      </c>
      <c r="S97">
        <v>0</v>
      </c>
      <c r="T97">
        <v>50</v>
      </c>
      <c r="U97" s="3">
        <f t="shared" si="3"/>
        <v>0</v>
      </c>
      <c r="V97" t="s">
        <v>84</v>
      </c>
      <c r="W97" t="s">
        <v>70</v>
      </c>
      <c r="X97">
        <v>4.2</v>
      </c>
      <c r="Y97" t="s">
        <v>43</v>
      </c>
      <c r="Z97">
        <v>750</v>
      </c>
      <c r="AA97" t="s">
        <v>61</v>
      </c>
      <c r="AB97">
        <v>18</v>
      </c>
      <c r="AC97">
        <v>2026</v>
      </c>
      <c r="AD97">
        <v>2035</v>
      </c>
    </row>
    <row r="98" spans="1:30">
      <c r="A98" t="s">
        <v>399</v>
      </c>
      <c r="B98" t="s">
        <v>400</v>
      </c>
      <c r="C98" t="s">
        <v>94</v>
      </c>
      <c r="D98" t="s">
        <v>786</v>
      </c>
      <c r="E98" t="s">
        <v>128</v>
      </c>
      <c r="F98">
        <v>2021</v>
      </c>
      <c r="G98" t="s">
        <v>34</v>
      </c>
      <c r="H98" t="s">
        <v>96</v>
      </c>
      <c r="I98">
        <v>13.5</v>
      </c>
      <c r="J98" t="s">
        <v>36</v>
      </c>
      <c r="K98" t="s">
        <v>50</v>
      </c>
      <c r="L98" t="s">
        <v>50</v>
      </c>
      <c r="M98" t="s">
        <v>38</v>
      </c>
      <c r="N98" t="s">
        <v>336</v>
      </c>
      <c r="O98" t="s">
        <v>40</v>
      </c>
      <c r="P98" s="3">
        <v>242.75</v>
      </c>
      <c r="Q98" s="3">
        <v>101.71</v>
      </c>
      <c r="R98" s="4">
        <f t="shared" si="2"/>
        <v>0.58100926879505677</v>
      </c>
      <c r="S98">
        <v>200</v>
      </c>
      <c r="T98">
        <v>50</v>
      </c>
      <c r="U98" s="3">
        <f t="shared" si="3"/>
        <v>48550</v>
      </c>
      <c r="V98" t="s">
        <v>41</v>
      </c>
      <c r="W98" t="s">
        <v>102</v>
      </c>
      <c r="X98">
        <v>4</v>
      </c>
      <c r="Y98" t="s">
        <v>43</v>
      </c>
      <c r="Z98">
        <v>750</v>
      </c>
      <c r="AA98" t="s">
        <v>44</v>
      </c>
      <c r="AB98">
        <v>10</v>
      </c>
      <c r="AC98">
        <v>2021</v>
      </c>
      <c r="AD98">
        <v>2028</v>
      </c>
    </row>
    <row r="99" spans="1:30">
      <c r="A99" t="s">
        <v>401</v>
      </c>
      <c r="B99" t="s">
        <v>402</v>
      </c>
      <c r="C99" t="s">
        <v>32</v>
      </c>
      <c r="D99" t="s">
        <v>770</v>
      </c>
      <c r="E99" t="s">
        <v>237</v>
      </c>
      <c r="F99">
        <v>1999</v>
      </c>
      <c r="G99" t="s">
        <v>134</v>
      </c>
      <c r="H99" t="s">
        <v>143</v>
      </c>
      <c r="I99">
        <v>10</v>
      </c>
      <c r="J99" t="s">
        <v>136</v>
      </c>
      <c r="K99" t="s">
        <v>37</v>
      </c>
      <c r="L99" t="s">
        <v>37</v>
      </c>
      <c r="M99" t="s">
        <v>59</v>
      </c>
      <c r="N99" t="s">
        <v>403</v>
      </c>
      <c r="O99" t="s">
        <v>257</v>
      </c>
      <c r="P99" s="3">
        <v>72.03</v>
      </c>
      <c r="Q99" s="3">
        <v>47.75</v>
      </c>
      <c r="R99" s="4">
        <f t="shared" si="2"/>
        <v>0.33708177148410384</v>
      </c>
      <c r="S99">
        <v>1000</v>
      </c>
      <c r="T99">
        <v>24</v>
      </c>
      <c r="U99" s="3">
        <f t="shared" si="3"/>
        <v>72030</v>
      </c>
      <c r="V99" t="s">
        <v>77</v>
      </c>
      <c r="W99" t="s">
        <v>70</v>
      </c>
      <c r="X99">
        <v>4</v>
      </c>
      <c r="Y99" t="s">
        <v>43</v>
      </c>
      <c r="Z99">
        <v>750</v>
      </c>
      <c r="AA99" t="s">
        <v>61</v>
      </c>
      <c r="AB99">
        <v>10</v>
      </c>
      <c r="AC99">
        <v>2021</v>
      </c>
      <c r="AD99">
        <v>2028</v>
      </c>
    </row>
    <row r="100" spans="1:30">
      <c r="A100" t="s">
        <v>404</v>
      </c>
      <c r="B100" t="s">
        <v>405</v>
      </c>
      <c r="C100" t="s">
        <v>282</v>
      </c>
      <c r="D100" t="s">
        <v>753</v>
      </c>
      <c r="E100" t="s">
        <v>406</v>
      </c>
      <c r="F100">
        <v>2015</v>
      </c>
      <c r="G100" t="s">
        <v>34</v>
      </c>
      <c r="H100" t="s">
        <v>211</v>
      </c>
      <c r="I100">
        <v>9.5</v>
      </c>
      <c r="J100" t="s">
        <v>36</v>
      </c>
      <c r="K100" t="s">
        <v>37</v>
      </c>
      <c r="L100" t="s">
        <v>59</v>
      </c>
      <c r="M100" t="s">
        <v>38</v>
      </c>
      <c r="N100" t="s">
        <v>243</v>
      </c>
      <c r="O100" t="s">
        <v>98</v>
      </c>
      <c r="P100" s="3">
        <v>129.34</v>
      </c>
      <c r="Q100" s="3">
        <v>91.12</v>
      </c>
      <c r="R100" s="4">
        <f t="shared" si="2"/>
        <v>0.29550023194680686</v>
      </c>
      <c r="S100">
        <v>600</v>
      </c>
      <c r="T100">
        <v>6</v>
      </c>
      <c r="U100" s="3">
        <f t="shared" si="3"/>
        <v>77604</v>
      </c>
      <c r="V100" t="s">
        <v>41</v>
      </c>
      <c r="W100" t="s">
        <v>53</v>
      </c>
      <c r="X100">
        <v>4.5999999999999996</v>
      </c>
      <c r="Y100" t="s">
        <v>43</v>
      </c>
      <c r="Z100">
        <v>750</v>
      </c>
      <c r="AA100" t="s">
        <v>61</v>
      </c>
      <c r="AB100">
        <v>12</v>
      </c>
      <c r="AC100">
        <v>2028</v>
      </c>
      <c r="AD100">
        <v>2033</v>
      </c>
    </row>
    <row r="101" spans="1:30">
      <c r="A101" t="s">
        <v>407</v>
      </c>
      <c r="B101" t="s">
        <v>408</v>
      </c>
      <c r="C101" t="s">
        <v>47</v>
      </c>
      <c r="D101" t="s">
        <v>783</v>
      </c>
      <c r="E101" t="s">
        <v>101</v>
      </c>
      <c r="F101">
        <v>2006</v>
      </c>
      <c r="G101" t="s">
        <v>34</v>
      </c>
      <c r="H101" t="s">
        <v>58</v>
      </c>
      <c r="I101">
        <v>15.6</v>
      </c>
      <c r="J101" t="s">
        <v>81</v>
      </c>
      <c r="K101" t="s">
        <v>50</v>
      </c>
      <c r="L101" t="s">
        <v>59</v>
      </c>
      <c r="M101" t="s">
        <v>38</v>
      </c>
      <c r="N101" t="s">
        <v>220</v>
      </c>
      <c r="O101" t="s">
        <v>40</v>
      </c>
      <c r="P101" s="3">
        <v>274.64</v>
      </c>
      <c r="Q101" s="3">
        <v>146.52000000000001</v>
      </c>
      <c r="R101" s="4">
        <f t="shared" si="2"/>
        <v>0.46650160209729091</v>
      </c>
      <c r="S101">
        <v>3</v>
      </c>
      <c r="T101">
        <v>24</v>
      </c>
      <c r="U101" s="3">
        <f t="shared" si="3"/>
        <v>823.92</v>
      </c>
      <c r="V101" t="s">
        <v>41</v>
      </c>
      <c r="W101" t="s">
        <v>102</v>
      </c>
      <c r="X101">
        <v>3.7</v>
      </c>
      <c r="Y101" t="s">
        <v>43</v>
      </c>
      <c r="Z101">
        <v>750</v>
      </c>
      <c r="AA101" t="s">
        <v>61</v>
      </c>
      <c r="AB101">
        <v>12</v>
      </c>
      <c r="AC101">
        <v>2028</v>
      </c>
      <c r="AD101">
        <v>2038</v>
      </c>
    </row>
    <row r="102" spans="1:30">
      <c r="A102" t="s">
        <v>409</v>
      </c>
      <c r="B102" t="s">
        <v>410</v>
      </c>
      <c r="C102" t="s">
        <v>132</v>
      </c>
      <c r="D102" t="s">
        <v>785</v>
      </c>
      <c r="E102" t="s">
        <v>219</v>
      </c>
      <c r="F102">
        <v>2002</v>
      </c>
      <c r="G102" t="s">
        <v>88</v>
      </c>
      <c r="H102" t="s">
        <v>181</v>
      </c>
      <c r="I102">
        <v>9.8000000000000007</v>
      </c>
      <c r="J102" t="s">
        <v>36</v>
      </c>
      <c r="K102" t="s">
        <v>59</v>
      </c>
      <c r="L102" t="s">
        <v>37</v>
      </c>
      <c r="M102" t="s">
        <v>59</v>
      </c>
      <c r="N102" t="s">
        <v>324</v>
      </c>
      <c r="O102" t="s">
        <v>201</v>
      </c>
      <c r="P102" s="3">
        <v>46.9</v>
      </c>
      <c r="Q102" s="3">
        <v>19.66</v>
      </c>
      <c r="R102" s="4">
        <f t="shared" si="2"/>
        <v>0.58081023454157776</v>
      </c>
      <c r="S102">
        <v>200</v>
      </c>
      <c r="T102">
        <v>36</v>
      </c>
      <c r="U102" s="3">
        <f t="shared" si="3"/>
        <v>9380</v>
      </c>
      <c r="V102" t="s">
        <v>77</v>
      </c>
      <c r="W102" t="s">
        <v>102</v>
      </c>
      <c r="X102">
        <v>3.3</v>
      </c>
      <c r="Y102" t="s">
        <v>43</v>
      </c>
      <c r="Z102">
        <v>1500</v>
      </c>
      <c r="AA102" t="s">
        <v>44</v>
      </c>
      <c r="AB102">
        <v>18</v>
      </c>
      <c r="AC102">
        <v>2027</v>
      </c>
      <c r="AD102">
        <v>2038</v>
      </c>
    </row>
    <row r="103" spans="1:30">
      <c r="A103" t="s">
        <v>411</v>
      </c>
      <c r="B103" t="s">
        <v>412</v>
      </c>
      <c r="C103" t="s">
        <v>148</v>
      </c>
      <c r="D103" t="s">
        <v>781</v>
      </c>
      <c r="E103" t="s">
        <v>215</v>
      </c>
      <c r="F103">
        <v>2014</v>
      </c>
      <c r="G103" t="s">
        <v>65</v>
      </c>
      <c r="H103" t="s">
        <v>66</v>
      </c>
      <c r="I103">
        <v>7.9</v>
      </c>
      <c r="J103" t="s">
        <v>36</v>
      </c>
      <c r="K103" t="s">
        <v>59</v>
      </c>
      <c r="L103" t="s">
        <v>37</v>
      </c>
      <c r="M103" t="s">
        <v>67</v>
      </c>
      <c r="N103" t="s">
        <v>229</v>
      </c>
      <c r="O103" t="s">
        <v>230</v>
      </c>
      <c r="P103" s="3">
        <v>298.64999999999998</v>
      </c>
      <c r="Q103" s="3">
        <v>137.62</v>
      </c>
      <c r="R103" s="4">
        <f t="shared" si="2"/>
        <v>0.53919303532563201</v>
      </c>
      <c r="S103">
        <v>36</v>
      </c>
      <c r="T103">
        <v>6</v>
      </c>
      <c r="U103" s="3">
        <f t="shared" si="3"/>
        <v>10751.4</v>
      </c>
      <c r="V103" t="s">
        <v>41</v>
      </c>
      <c r="W103" t="s">
        <v>107</v>
      </c>
      <c r="X103">
        <v>5</v>
      </c>
      <c r="Y103" t="s">
        <v>71</v>
      </c>
      <c r="Z103">
        <v>375</v>
      </c>
      <c r="AA103" t="s">
        <v>85</v>
      </c>
      <c r="AB103">
        <v>10</v>
      </c>
      <c r="AC103">
        <v>2024</v>
      </c>
      <c r="AD103">
        <v>2031</v>
      </c>
    </row>
    <row r="104" spans="1:30">
      <c r="A104" t="s">
        <v>413</v>
      </c>
      <c r="B104" t="s">
        <v>414</v>
      </c>
      <c r="C104" t="s">
        <v>47</v>
      </c>
      <c r="D104" t="s">
        <v>792</v>
      </c>
      <c r="E104" t="s">
        <v>268</v>
      </c>
      <c r="F104">
        <v>2023</v>
      </c>
      <c r="G104" t="s">
        <v>88</v>
      </c>
      <c r="H104" t="s">
        <v>193</v>
      </c>
      <c r="I104">
        <v>12</v>
      </c>
      <c r="J104" t="s">
        <v>36</v>
      </c>
      <c r="K104" t="s">
        <v>59</v>
      </c>
      <c r="L104" t="s">
        <v>37</v>
      </c>
      <c r="M104" t="s">
        <v>59</v>
      </c>
      <c r="N104" t="s">
        <v>178</v>
      </c>
      <c r="O104" t="s">
        <v>125</v>
      </c>
      <c r="P104" s="3">
        <v>167.62</v>
      </c>
      <c r="Q104" s="3">
        <v>96.53</v>
      </c>
      <c r="R104" s="4">
        <f t="shared" si="2"/>
        <v>0.42411406753370723</v>
      </c>
      <c r="S104">
        <v>3</v>
      </c>
      <c r="T104">
        <v>12</v>
      </c>
      <c r="U104" s="3">
        <f t="shared" si="3"/>
        <v>502.86</v>
      </c>
      <c r="V104" t="s">
        <v>41</v>
      </c>
      <c r="W104" t="s">
        <v>107</v>
      </c>
      <c r="X104">
        <v>3.2</v>
      </c>
      <c r="Y104" t="s">
        <v>43</v>
      </c>
      <c r="Z104">
        <v>375</v>
      </c>
      <c r="AA104" t="s">
        <v>85</v>
      </c>
      <c r="AB104">
        <v>14</v>
      </c>
      <c r="AC104">
        <v>2024</v>
      </c>
      <c r="AD104">
        <v>2034</v>
      </c>
    </row>
    <row r="105" spans="1:30">
      <c r="A105" t="s">
        <v>415</v>
      </c>
      <c r="B105" t="s">
        <v>416</v>
      </c>
      <c r="C105" t="s">
        <v>121</v>
      </c>
      <c r="D105" t="s">
        <v>793</v>
      </c>
      <c r="E105" t="s">
        <v>101</v>
      </c>
      <c r="F105">
        <v>2010</v>
      </c>
      <c r="G105" t="s">
        <v>65</v>
      </c>
      <c r="H105" t="s">
        <v>66</v>
      </c>
      <c r="I105">
        <v>8.9</v>
      </c>
      <c r="J105" t="s">
        <v>36</v>
      </c>
      <c r="K105" t="s">
        <v>37</v>
      </c>
      <c r="L105" t="s">
        <v>37</v>
      </c>
      <c r="M105" t="s">
        <v>67</v>
      </c>
      <c r="N105" t="s">
        <v>157</v>
      </c>
      <c r="O105" t="s">
        <v>83</v>
      </c>
      <c r="P105" s="3">
        <v>89.61</v>
      </c>
      <c r="Q105" s="3">
        <v>44.51</v>
      </c>
      <c r="R105" s="4">
        <f t="shared" si="2"/>
        <v>0.503292043298739</v>
      </c>
      <c r="S105">
        <v>72</v>
      </c>
      <c r="T105">
        <v>50</v>
      </c>
      <c r="U105" s="3">
        <f t="shared" si="3"/>
        <v>6451.92</v>
      </c>
      <c r="V105" t="s">
        <v>77</v>
      </c>
      <c r="W105" t="s">
        <v>107</v>
      </c>
      <c r="X105">
        <v>4.8</v>
      </c>
      <c r="Y105" t="s">
        <v>43</v>
      </c>
      <c r="Z105">
        <v>750</v>
      </c>
      <c r="AA105" t="s">
        <v>61</v>
      </c>
      <c r="AB105">
        <v>14</v>
      </c>
      <c r="AC105">
        <v>2025</v>
      </c>
      <c r="AD105">
        <v>2038</v>
      </c>
    </row>
    <row r="106" spans="1:30">
      <c r="A106" t="s">
        <v>417</v>
      </c>
      <c r="B106" t="s">
        <v>418</v>
      </c>
      <c r="C106" t="s">
        <v>141</v>
      </c>
      <c r="D106" t="s">
        <v>791</v>
      </c>
      <c r="E106" t="s">
        <v>133</v>
      </c>
      <c r="F106">
        <v>2013</v>
      </c>
      <c r="G106" t="s">
        <v>88</v>
      </c>
      <c r="H106" t="s">
        <v>161</v>
      </c>
      <c r="I106">
        <v>13.9</v>
      </c>
      <c r="J106" t="s">
        <v>36</v>
      </c>
      <c r="K106" t="s">
        <v>59</v>
      </c>
      <c r="L106" t="s">
        <v>37</v>
      </c>
      <c r="M106" t="s">
        <v>59</v>
      </c>
      <c r="N106" t="s">
        <v>419</v>
      </c>
      <c r="O106" t="s">
        <v>195</v>
      </c>
      <c r="P106" s="3">
        <v>80.150000000000006</v>
      </c>
      <c r="Q106" s="3">
        <v>37.119999999999997</v>
      </c>
      <c r="R106" s="4">
        <f t="shared" si="2"/>
        <v>0.53686837180286973</v>
      </c>
      <c r="S106">
        <v>24</v>
      </c>
      <c r="T106">
        <v>36</v>
      </c>
      <c r="U106" s="3">
        <f t="shared" si="3"/>
        <v>1923.6000000000001</v>
      </c>
      <c r="V106" t="s">
        <v>77</v>
      </c>
      <c r="W106" t="s">
        <v>53</v>
      </c>
      <c r="X106">
        <v>4.2</v>
      </c>
      <c r="Y106" t="s">
        <v>43</v>
      </c>
      <c r="Z106">
        <v>750</v>
      </c>
      <c r="AA106" t="s">
        <v>44</v>
      </c>
      <c r="AB106">
        <v>10</v>
      </c>
      <c r="AC106">
        <v>2027</v>
      </c>
      <c r="AD106">
        <v>2030</v>
      </c>
    </row>
    <row r="107" spans="1:30">
      <c r="A107" t="s">
        <v>420</v>
      </c>
      <c r="B107" t="s">
        <v>421</v>
      </c>
      <c r="C107" t="s">
        <v>47</v>
      </c>
      <c r="D107" t="s">
        <v>791</v>
      </c>
      <c r="E107" t="s">
        <v>260</v>
      </c>
      <c r="F107">
        <v>1998</v>
      </c>
      <c r="G107" t="s">
        <v>88</v>
      </c>
      <c r="H107" t="s">
        <v>89</v>
      </c>
      <c r="I107">
        <v>12.4</v>
      </c>
      <c r="J107" t="s">
        <v>36</v>
      </c>
      <c r="K107" t="s">
        <v>37</v>
      </c>
      <c r="L107" t="s">
        <v>37</v>
      </c>
      <c r="M107" t="s">
        <v>59</v>
      </c>
      <c r="N107" t="s">
        <v>422</v>
      </c>
      <c r="O107" t="s">
        <v>125</v>
      </c>
      <c r="P107" s="3">
        <v>146.66</v>
      </c>
      <c r="Q107" s="3">
        <v>63.23</v>
      </c>
      <c r="R107" s="4">
        <f t="shared" si="2"/>
        <v>0.56886676667121239</v>
      </c>
      <c r="S107">
        <v>72</v>
      </c>
      <c r="T107">
        <v>50</v>
      </c>
      <c r="U107" s="3">
        <f t="shared" si="3"/>
        <v>10559.52</v>
      </c>
      <c r="V107" t="s">
        <v>41</v>
      </c>
      <c r="W107" t="s">
        <v>53</v>
      </c>
      <c r="X107">
        <v>4.2</v>
      </c>
      <c r="Y107" t="s">
        <v>71</v>
      </c>
      <c r="Z107">
        <v>750</v>
      </c>
      <c r="AA107" t="s">
        <v>61</v>
      </c>
      <c r="AB107">
        <v>8</v>
      </c>
      <c r="AC107">
        <v>2022</v>
      </c>
      <c r="AD107">
        <v>2035</v>
      </c>
    </row>
    <row r="108" spans="1:30">
      <c r="A108" t="s">
        <v>423</v>
      </c>
      <c r="B108" t="s">
        <v>424</v>
      </c>
      <c r="C108" t="s">
        <v>148</v>
      </c>
      <c r="D108" t="s">
        <v>773</v>
      </c>
      <c r="E108" t="s">
        <v>233</v>
      </c>
      <c r="F108">
        <v>2015</v>
      </c>
      <c r="G108" t="s">
        <v>65</v>
      </c>
      <c r="H108" t="s">
        <v>211</v>
      </c>
      <c r="I108">
        <v>14.5</v>
      </c>
      <c r="J108" t="s">
        <v>36</v>
      </c>
      <c r="K108" t="s">
        <v>37</v>
      </c>
      <c r="L108" t="s">
        <v>37</v>
      </c>
      <c r="M108" t="s">
        <v>67</v>
      </c>
      <c r="N108" t="s">
        <v>157</v>
      </c>
      <c r="O108" t="s">
        <v>83</v>
      </c>
      <c r="P108" s="3">
        <v>364.04</v>
      </c>
      <c r="Q108" s="3">
        <v>238.02</v>
      </c>
      <c r="R108" s="4">
        <f t="shared" si="2"/>
        <v>0.34617075046698165</v>
      </c>
      <c r="S108">
        <v>48</v>
      </c>
      <c r="T108">
        <v>24</v>
      </c>
      <c r="U108" s="3">
        <f t="shared" si="3"/>
        <v>17473.920000000002</v>
      </c>
      <c r="V108" t="s">
        <v>41</v>
      </c>
      <c r="W108" t="s">
        <v>70</v>
      </c>
      <c r="X108">
        <v>4.9000000000000004</v>
      </c>
      <c r="Y108" t="s">
        <v>43</v>
      </c>
      <c r="Z108">
        <v>375</v>
      </c>
      <c r="AA108" t="s">
        <v>61</v>
      </c>
      <c r="AB108">
        <v>8</v>
      </c>
      <c r="AC108">
        <v>2025</v>
      </c>
      <c r="AD108">
        <v>2033</v>
      </c>
    </row>
    <row r="109" spans="1:30">
      <c r="A109" t="s">
        <v>425</v>
      </c>
      <c r="B109" t="s">
        <v>426</v>
      </c>
      <c r="C109" t="s">
        <v>47</v>
      </c>
      <c r="D109" t="s">
        <v>794</v>
      </c>
      <c r="E109" t="s">
        <v>263</v>
      </c>
      <c r="F109">
        <v>1998</v>
      </c>
      <c r="G109" t="s">
        <v>34</v>
      </c>
      <c r="H109" t="s">
        <v>111</v>
      </c>
      <c r="I109">
        <v>8.5</v>
      </c>
      <c r="J109" t="s">
        <v>81</v>
      </c>
      <c r="K109" t="s">
        <v>59</v>
      </c>
      <c r="L109" t="s">
        <v>59</v>
      </c>
      <c r="M109" t="s">
        <v>38</v>
      </c>
      <c r="N109" t="s">
        <v>76</v>
      </c>
      <c r="O109" t="s">
        <v>98</v>
      </c>
      <c r="P109" s="3">
        <v>190.77</v>
      </c>
      <c r="Q109" s="3">
        <v>135.76</v>
      </c>
      <c r="R109" s="4">
        <f t="shared" si="2"/>
        <v>0.28835770823504753</v>
      </c>
      <c r="S109">
        <v>2</v>
      </c>
      <c r="T109">
        <v>24</v>
      </c>
      <c r="U109" s="3">
        <f t="shared" si="3"/>
        <v>381.54</v>
      </c>
      <c r="V109" t="s">
        <v>41</v>
      </c>
      <c r="W109" t="s">
        <v>107</v>
      </c>
      <c r="X109">
        <v>3.8</v>
      </c>
      <c r="Y109" t="s">
        <v>71</v>
      </c>
      <c r="Z109">
        <v>750</v>
      </c>
      <c r="AA109" t="s">
        <v>44</v>
      </c>
      <c r="AB109">
        <v>12</v>
      </c>
      <c r="AC109">
        <v>2022</v>
      </c>
      <c r="AD109">
        <v>2031</v>
      </c>
    </row>
    <row r="110" spans="1:30">
      <c r="A110" t="s">
        <v>427</v>
      </c>
      <c r="B110" t="s">
        <v>428</v>
      </c>
      <c r="C110" t="s">
        <v>56</v>
      </c>
      <c r="D110" t="s">
        <v>767</v>
      </c>
      <c r="E110" t="s">
        <v>228</v>
      </c>
      <c r="F110">
        <v>2004</v>
      </c>
      <c r="G110" t="s">
        <v>34</v>
      </c>
      <c r="H110" t="s">
        <v>96</v>
      </c>
      <c r="I110">
        <v>12.8</v>
      </c>
      <c r="J110" t="s">
        <v>36</v>
      </c>
      <c r="K110" t="s">
        <v>50</v>
      </c>
      <c r="L110" t="s">
        <v>59</v>
      </c>
      <c r="M110" t="s">
        <v>38</v>
      </c>
      <c r="N110" t="s">
        <v>429</v>
      </c>
      <c r="O110" t="s">
        <v>118</v>
      </c>
      <c r="P110" s="3">
        <v>69.33</v>
      </c>
      <c r="Q110" s="3">
        <v>33.04</v>
      </c>
      <c r="R110" s="4">
        <f t="shared" si="2"/>
        <v>0.52343862685706044</v>
      </c>
      <c r="S110">
        <v>350</v>
      </c>
      <c r="T110">
        <v>12</v>
      </c>
      <c r="U110" s="3">
        <f t="shared" si="3"/>
        <v>24265.5</v>
      </c>
      <c r="V110" t="s">
        <v>77</v>
      </c>
      <c r="W110" t="s">
        <v>70</v>
      </c>
      <c r="X110">
        <v>3.6</v>
      </c>
      <c r="Y110" t="s">
        <v>43</v>
      </c>
      <c r="Z110">
        <v>750</v>
      </c>
      <c r="AA110" t="s">
        <v>44</v>
      </c>
      <c r="AB110">
        <v>18</v>
      </c>
      <c r="AC110">
        <v>2026</v>
      </c>
      <c r="AD110">
        <v>2030</v>
      </c>
    </row>
    <row r="111" spans="1:30">
      <c r="A111" t="s">
        <v>430</v>
      </c>
      <c r="B111" t="s">
        <v>431</v>
      </c>
      <c r="C111" t="s">
        <v>132</v>
      </c>
      <c r="D111" t="s">
        <v>770</v>
      </c>
      <c r="E111" t="s">
        <v>219</v>
      </c>
      <c r="F111">
        <v>1999</v>
      </c>
      <c r="G111" t="s">
        <v>88</v>
      </c>
      <c r="H111" t="s">
        <v>89</v>
      </c>
      <c r="I111">
        <v>10.9</v>
      </c>
      <c r="J111" t="s">
        <v>36</v>
      </c>
      <c r="K111" t="s">
        <v>50</v>
      </c>
      <c r="L111" t="s">
        <v>37</v>
      </c>
      <c r="M111" t="s">
        <v>59</v>
      </c>
      <c r="N111" t="s">
        <v>432</v>
      </c>
      <c r="O111" t="s">
        <v>125</v>
      </c>
      <c r="P111" s="3">
        <v>115.89</v>
      </c>
      <c r="Q111" s="3">
        <v>68.36</v>
      </c>
      <c r="R111" s="4">
        <f t="shared" si="2"/>
        <v>0.41013029597031669</v>
      </c>
      <c r="S111">
        <v>48</v>
      </c>
      <c r="T111">
        <v>24</v>
      </c>
      <c r="U111" s="3">
        <f t="shared" si="3"/>
        <v>5562.72</v>
      </c>
      <c r="V111" t="s">
        <v>41</v>
      </c>
      <c r="W111" t="s">
        <v>53</v>
      </c>
      <c r="X111">
        <v>3.5</v>
      </c>
      <c r="Y111" t="s">
        <v>71</v>
      </c>
      <c r="Z111">
        <v>750</v>
      </c>
      <c r="AA111" t="s">
        <v>61</v>
      </c>
      <c r="AB111">
        <v>18</v>
      </c>
      <c r="AC111">
        <v>2022</v>
      </c>
      <c r="AD111">
        <v>2033</v>
      </c>
    </row>
    <row r="112" spans="1:30">
      <c r="A112" t="s">
        <v>433</v>
      </c>
      <c r="B112" t="s">
        <v>434</v>
      </c>
      <c r="C112" t="s">
        <v>148</v>
      </c>
      <c r="D112" t="s">
        <v>792</v>
      </c>
      <c r="E112" t="s">
        <v>75</v>
      </c>
      <c r="F112">
        <v>2002</v>
      </c>
      <c r="G112" t="s">
        <v>34</v>
      </c>
      <c r="H112" t="s">
        <v>58</v>
      </c>
      <c r="I112">
        <v>8.6</v>
      </c>
      <c r="J112" t="s">
        <v>36</v>
      </c>
      <c r="K112" t="s">
        <v>50</v>
      </c>
      <c r="L112" t="s">
        <v>50</v>
      </c>
      <c r="M112" t="s">
        <v>38</v>
      </c>
      <c r="N112" t="s">
        <v>97</v>
      </c>
      <c r="O112" t="s">
        <v>40</v>
      </c>
      <c r="P112" s="3">
        <v>73.7</v>
      </c>
      <c r="Q112" s="3">
        <v>46.88</v>
      </c>
      <c r="R112" s="4">
        <f t="shared" si="2"/>
        <v>0.36390773405698779</v>
      </c>
      <c r="S112">
        <v>120</v>
      </c>
      <c r="T112">
        <v>50</v>
      </c>
      <c r="U112" s="3">
        <f t="shared" si="3"/>
        <v>8844</v>
      </c>
      <c r="V112" t="s">
        <v>41</v>
      </c>
      <c r="W112" t="s">
        <v>70</v>
      </c>
      <c r="X112">
        <v>4.2</v>
      </c>
      <c r="Y112" t="s">
        <v>71</v>
      </c>
      <c r="Z112">
        <v>750</v>
      </c>
      <c r="AA112" t="s">
        <v>44</v>
      </c>
      <c r="AB112">
        <v>8</v>
      </c>
      <c r="AC112">
        <v>2025</v>
      </c>
      <c r="AD112">
        <v>2039</v>
      </c>
    </row>
    <row r="113" spans="1:30">
      <c r="A113" t="s">
        <v>435</v>
      </c>
      <c r="B113" t="s">
        <v>436</v>
      </c>
      <c r="C113" t="s">
        <v>121</v>
      </c>
      <c r="D113" t="s">
        <v>775</v>
      </c>
      <c r="E113" t="s">
        <v>188</v>
      </c>
      <c r="F113">
        <v>2003</v>
      </c>
      <c r="G113" t="s">
        <v>88</v>
      </c>
      <c r="H113" t="s">
        <v>161</v>
      </c>
      <c r="I113">
        <v>15</v>
      </c>
      <c r="J113" t="s">
        <v>36</v>
      </c>
      <c r="K113" t="s">
        <v>37</v>
      </c>
      <c r="L113" t="s">
        <v>37</v>
      </c>
      <c r="M113" t="s">
        <v>59</v>
      </c>
      <c r="N113" t="s">
        <v>310</v>
      </c>
      <c r="O113" t="s">
        <v>201</v>
      </c>
      <c r="P113" s="3">
        <v>70.95</v>
      </c>
      <c r="Q113" s="3">
        <v>37.549999999999997</v>
      </c>
      <c r="R113" s="4">
        <f t="shared" si="2"/>
        <v>0.47075405214940103</v>
      </c>
      <c r="S113">
        <v>0</v>
      </c>
      <c r="T113">
        <v>36</v>
      </c>
      <c r="U113" s="3">
        <f t="shared" si="3"/>
        <v>0</v>
      </c>
      <c r="V113" t="s">
        <v>84</v>
      </c>
      <c r="W113" t="s">
        <v>102</v>
      </c>
      <c r="X113">
        <v>4.7</v>
      </c>
      <c r="Y113" t="s">
        <v>43</v>
      </c>
      <c r="Z113">
        <v>750</v>
      </c>
      <c r="AA113" t="s">
        <v>44</v>
      </c>
      <c r="AB113">
        <v>16</v>
      </c>
      <c r="AC113">
        <v>2027</v>
      </c>
      <c r="AD113">
        <v>2034</v>
      </c>
    </row>
    <row r="114" spans="1:30">
      <c r="A114" t="s">
        <v>437</v>
      </c>
      <c r="B114" t="s">
        <v>438</v>
      </c>
      <c r="C114" t="s">
        <v>94</v>
      </c>
      <c r="D114" t="s">
        <v>776</v>
      </c>
      <c r="E114" t="s">
        <v>101</v>
      </c>
      <c r="F114">
        <v>2010</v>
      </c>
      <c r="G114" t="s">
        <v>88</v>
      </c>
      <c r="H114" t="s">
        <v>161</v>
      </c>
      <c r="I114">
        <v>15.7</v>
      </c>
      <c r="J114" t="s">
        <v>36</v>
      </c>
      <c r="K114" t="s">
        <v>50</v>
      </c>
      <c r="L114" t="s">
        <v>37</v>
      </c>
      <c r="M114" t="s">
        <v>59</v>
      </c>
      <c r="N114" t="s">
        <v>419</v>
      </c>
      <c r="O114" t="s">
        <v>91</v>
      </c>
      <c r="P114" s="3">
        <v>158.57</v>
      </c>
      <c r="Q114" s="3">
        <v>63.83</v>
      </c>
      <c r="R114" s="4">
        <f t="shared" si="2"/>
        <v>0.59746484202560379</v>
      </c>
      <c r="S114">
        <v>12</v>
      </c>
      <c r="T114">
        <v>36</v>
      </c>
      <c r="U114" s="3">
        <f t="shared" si="3"/>
        <v>1902.84</v>
      </c>
      <c r="V114" t="s">
        <v>41</v>
      </c>
      <c r="W114" t="s">
        <v>102</v>
      </c>
      <c r="X114">
        <v>3.8</v>
      </c>
      <c r="Y114" t="s">
        <v>43</v>
      </c>
      <c r="Z114">
        <v>750</v>
      </c>
      <c r="AA114" t="s">
        <v>85</v>
      </c>
      <c r="AB114">
        <v>10</v>
      </c>
      <c r="AC114">
        <v>2021</v>
      </c>
      <c r="AD114">
        <v>2031</v>
      </c>
    </row>
    <row r="115" spans="1:30">
      <c r="A115" t="s">
        <v>439</v>
      </c>
      <c r="B115" t="s">
        <v>440</v>
      </c>
      <c r="C115" t="s">
        <v>177</v>
      </c>
      <c r="D115" t="s">
        <v>768</v>
      </c>
      <c r="E115" t="s">
        <v>219</v>
      </c>
      <c r="F115">
        <v>2011</v>
      </c>
      <c r="G115" t="s">
        <v>34</v>
      </c>
      <c r="H115" t="s">
        <v>80</v>
      </c>
      <c r="I115">
        <v>14.1</v>
      </c>
      <c r="J115" t="s">
        <v>36</v>
      </c>
      <c r="K115" t="s">
        <v>59</v>
      </c>
      <c r="L115" t="s">
        <v>59</v>
      </c>
      <c r="M115" t="s">
        <v>38</v>
      </c>
      <c r="N115" t="s">
        <v>384</v>
      </c>
      <c r="O115" t="s">
        <v>118</v>
      </c>
      <c r="P115" s="3">
        <v>286.64999999999998</v>
      </c>
      <c r="Q115" s="3">
        <v>203.75</v>
      </c>
      <c r="R115" s="4">
        <f t="shared" si="2"/>
        <v>0.28920286063143202</v>
      </c>
      <c r="S115">
        <v>600</v>
      </c>
      <c r="T115">
        <v>36</v>
      </c>
      <c r="U115" s="3">
        <f t="shared" si="3"/>
        <v>171990</v>
      </c>
      <c r="V115" t="s">
        <v>77</v>
      </c>
      <c r="W115" t="s">
        <v>53</v>
      </c>
      <c r="X115">
        <v>3.9</v>
      </c>
      <c r="Y115" t="s">
        <v>43</v>
      </c>
      <c r="Z115">
        <v>750</v>
      </c>
      <c r="AA115" t="s">
        <v>85</v>
      </c>
      <c r="AB115">
        <v>8</v>
      </c>
      <c r="AC115">
        <v>2025</v>
      </c>
      <c r="AD115">
        <v>2030</v>
      </c>
    </row>
    <row r="116" spans="1:30">
      <c r="A116" t="s">
        <v>441</v>
      </c>
      <c r="B116" t="s">
        <v>442</v>
      </c>
      <c r="C116" t="s">
        <v>115</v>
      </c>
      <c r="D116" t="s">
        <v>768</v>
      </c>
      <c r="E116" t="s">
        <v>105</v>
      </c>
      <c r="F116">
        <v>2007</v>
      </c>
      <c r="G116" t="s">
        <v>88</v>
      </c>
      <c r="H116" t="s">
        <v>123</v>
      </c>
      <c r="I116">
        <v>10.3</v>
      </c>
      <c r="J116" t="s">
        <v>36</v>
      </c>
      <c r="K116" t="s">
        <v>59</v>
      </c>
      <c r="L116" t="s">
        <v>37</v>
      </c>
      <c r="M116" t="s">
        <v>59</v>
      </c>
      <c r="N116" t="s">
        <v>182</v>
      </c>
      <c r="O116" t="s">
        <v>195</v>
      </c>
      <c r="P116" s="3">
        <v>66.95</v>
      </c>
      <c r="Q116" s="3">
        <v>33.93</v>
      </c>
      <c r="R116" s="4">
        <f t="shared" si="2"/>
        <v>0.49320388349514566</v>
      </c>
      <c r="S116">
        <v>200</v>
      </c>
      <c r="T116">
        <v>12</v>
      </c>
      <c r="U116" s="3">
        <f t="shared" si="3"/>
        <v>13390</v>
      </c>
      <c r="V116" t="s">
        <v>41</v>
      </c>
      <c r="W116" t="s">
        <v>53</v>
      </c>
      <c r="X116">
        <v>4.7</v>
      </c>
      <c r="Y116" t="s">
        <v>43</v>
      </c>
      <c r="Z116">
        <v>1500</v>
      </c>
      <c r="AA116" t="s">
        <v>61</v>
      </c>
      <c r="AB116">
        <v>10</v>
      </c>
      <c r="AC116">
        <v>2028</v>
      </c>
      <c r="AD116">
        <v>2041</v>
      </c>
    </row>
    <row r="117" spans="1:30">
      <c r="A117" t="s">
        <v>443</v>
      </c>
      <c r="B117" t="s">
        <v>444</v>
      </c>
      <c r="C117" t="s">
        <v>282</v>
      </c>
      <c r="D117" t="s">
        <v>770</v>
      </c>
      <c r="E117" t="s">
        <v>116</v>
      </c>
      <c r="F117">
        <v>2024</v>
      </c>
      <c r="G117" t="s">
        <v>34</v>
      </c>
      <c r="H117" t="s">
        <v>211</v>
      </c>
      <c r="I117">
        <v>14.4</v>
      </c>
      <c r="J117" t="s">
        <v>36</v>
      </c>
      <c r="K117" t="s">
        <v>37</v>
      </c>
      <c r="L117" t="s">
        <v>59</v>
      </c>
      <c r="M117" t="s">
        <v>38</v>
      </c>
      <c r="N117" t="s">
        <v>445</v>
      </c>
      <c r="O117" t="s">
        <v>40</v>
      </c>
      <c r="P117" s="3">
        <v>103.19</v>
      </c>
      <c r="Q117" s="3">
        <v>56.05</v>
      </c>
      <c r="R117" s="4">
        <f t="shared" si="2"/>
        <v>0.45682721193914139</v>
      </c>
      <c r="S117">
        <v>12</v>
      </c>
      <c r="T117">
        <v>12</v>
      </c>
      <c r="U117" s="3">
        <f t="shared" si="3"/>
        <v>1238.28</v>
      </c>
      <c r="V117" t="s">
        <v>41</v>
      </c>
      <c r="W117" t="s">
        <v>53</v>
      </c>
      <c r="X117">
        <v>3.6</v>
      </c>
      <c r="Y117" t="s">
        <v>71</v>
      </c>
      <c r="Z117">
        <v>750</v>
      </c>
      <c r="AA117" t="s">
        <v>61</v>
      </c>
      <c r="AB117">
        <v>10</v>
      </c>
      <c r="AC117">
        <v>2025</v>
      </c>
      <c r="AD117">
        <v>2039</v>
      </c>
    </row>
    <row r="118" spans="1:30">
      <c r="A118" t="s">
        <v>446</v>
      </c>
      <c r="B118" t="s">
        <v>447</v>
      </c>
      <c r="C118" t="s">
        <v>94</v>
      </c>
      <c r="D118" t="s">
        <v>769</v>
      </c>
      <c r="E118" t="s">
        <v>307</v>
      </c>
      <c r="F118">
        <v>2002</v>
      </c>
      <c r="G118" t="s">
        <v>88</v>
      </c>
      <c r="H118" t="s">
        <v>181</v>
      </c>
      <c r="I118">
        <v>9</v>
      </c>
      <c r="J118" t="s">
        <v>36</v>
      </c>
      <c r="K118" t="s">
        <v>37</v>
      </c>
      <c r="L118" t="s">
        <v>37</v>
      </c>
      <c r="M118" t="s">
        <v>59</v>
      </c>
      <c r="N118" t="s">
        <v>448</v>
      </c>
      <c r="O118" t="s">
        <v>195</v>
      </c>
      <c r="P118" s="3">
        <v>182.43</v>
      </c>
      <c r="Q118" s="3">
        <v>80.489999999999995</v>
      </c>
      <c r="R118" s="4">
        <f t="shared" si="2"/>
        <v>0.55878967275119229</v>
      </c>
      <c r="S118">
        <v>48</v>
      </c>
      <c r="T118">
        <v>6</v>
      </c>
      <c r="U118" s="3">
        <f t="shared" si="3"/>
        <v>8756.64</v>
      </c>
      <c r="V118" t="s">
        <v>41</v>
      </c>
      <c r="W118" t="s">
        <v>42</v>
      </c>
      <c r="X118">
        <v>4</v>
      </c>
      <c r="Y118" t="s">
        <v>43</v>
      </c>
      <c r="Z118">
        <v>750</v>
      </c>
      <c r="AA118" t="s">
        <v>61</v>
      </c>
      <c r="AB118">
        <v>14</v>
      </c>
      <c r="AC118">
        <v>2024</v>
      </c>
      <c r="AD118">
        <v>2032</v>
      </c>
    </row>
    <row r="119" spans="1:30">
      <c r="A119" t="s">
        <v>449</v>
      </c>
      <c r="B119" t="s">
        <v>450</v>
      </c>
      <c r="C119" t="s">
        <v>282</v>
      </c>
      <c r="D119" t="s">
        <v>781</v>
      </c>
      <c r="E119" t="s">
        <v>165</v>
      </c>
      <c r="F119">
        <v>2024</v>
      </c>
      <c r="G119" t="s">
        <v>34</v>
      </c>
      <c r="H119" t="s">
        <v>211</v>
      </c>
      <c r="I119">
        <v>9.5</v>
      </c>
      <c r="J119" t="s">
        <v>36</v>
      </c>
      <c r="K119" t="s">
        <v>37</v>
      </c>
      <c r="L119" t="s">
        <v>37</v>
      </c>
      <c r="M119" t="s">
        <v>38</v>
      </c>
      <c r="N119" t="s">
        <v>39</v>
      </c>
      <c r="O119" t="s">
        <v>118</v>
      </c>
      <c r="P119" s="3">
        <v>314.14</v>
      </c>
      <c r="Q119" s="3">
        <v>219.64</v>
      </c>
      <c r="R119" s="4">
        <f t="shared" si="2"/>
        <v>0.30082128987075829</v>
      </c>
      <c r="S119">
        <v>8</v>
      </c>
      <c r="T119">
        <v>36</v>
      </c>
      <c r="U119" s="3">
        <f t="shared" si="3"/>
        <v>2513.12</v>
      </c>
      <c r="V119" t="s">
        <v>77</v>
      </c>
      <c r="W119" t="s">
        <v>70</v>
      </c>
      <c r="X119">
        <v>4.5999999999999996</v>
      </c>
      <c r="Y119" t="s">
        <v>43</v>
      </c>
      <c r="Z119">
        <v>750</v>
      </c>
      <c r="AA119" t="s">
        <v>61</v>
      </c>
      <c r="AB119">
        <v>8</v>
      </c>
      <c r="AC119">
        <v>2025</v>
      </c>
      <c r="AD119">
        <v>2030</v>
      </c>
    </row>
    <row r="120" spans="1:30">
      <c r="A120" t="s">
        <v>451</v>
      </c>
      <c r="B120" t="s">
        <v>452</v>
      </c>
      <c r="C120" t="s">
        <v>94</v>
      </c>
      <c r="D120" t="s">
        <v>764</v>
      </c>
      <c r="E120" t="s">
        <v>64</v>
      </c>
      <c r="F120">
        <v>2007</v>
      </c>
      <c r="G120" t="s">
        <v>34</v>
      </c>
      <c r="H120" t="s">
        <v>242</v>
      </c>
      <c r="I120">
        <v>10.4</v>
      </c>
      <c r="J120" t="s">
        <v>36</v>
      </c>
      <c r="K120" t="s">
        <v>50</v>
      </c>
      <c r="L120" t="s">
        <v>50</v>
      </c>
      <c r="M120" t="s">
        <v>38</v>
      </c>
      <c r="N120" t="s">
        <v>453</v>
      </c>
      <c r="O120" t="s">
        <v>40</v>
      </c>
      <c r="P120" s="3">
        <v>269.7</v>
      </c>
      <c r="Q120" s="3">
        <v>176.83</v>
      </c>
      <c r="R120" s="4">
        <f t="shared" si="2"/>
        <v>0.34434556915090836</v>
      </c>
      <c r="S120">
        <v>1000</v>
      </c>
      <c r="T120">
        <v>12</v>
      </c>
      <c r="U120" s="3">
        <f t="shared" si="3"/>
        <v>269700</v>
      </c>
      <c r="V120" t="s">
        <v>41</v>
      </c>
      <c r="W120" t="s">
        <v>102</v>
      </c>
      <c r="X120">
        <v>4.9000000000000004</v>
      </c>
      <c r="Y120" t="s">
        <v>43</v>
      </c>
      <c r="Z120">
        <v>1500</v>
      </c>
      <c r="AA120" t="s">
        <v>44</v>
      </c>
      <c r="AB120">
        <v>16</v>
      </c>
      <c r="AC120">
        <v>2025</v>
      </c>
      <c r="AD120">
        <v>2030</v>
      </c>
    </row>
    <row r="121" spans="1:30">
      <c r="A121" t="s">
        <v>454</v>
      </c>
      <c r="B121" t="s">
        <v>455</v>
      </c>
      <c r="C121" t="s">
        <v>148</v>
      </c>
      <c r="D121" t="s">
        <v>756</v>
      </c>
      <c r="E121" t="s">
        <v>313</v>
      </c>
      <c r="F121">
        <v>2024</v>
      </c>
      <c r="G121" t="s">
        <v>34</v>
      </c>
      <c r="H121" t="s">
        <v>80</v>
      </c>
      <c r="I121">
        <v>7.6</v>
      </c>
      <c r="J121" t="s">
        <v>81</v>
      </c>
      <c r="K121" t="s">
        <v>37</v>
      </c>
      <c r="L121" t="s">
        <v>59</v>
      </c>
      <c r="M121" t="s">
        <v>38</v>
      </c>
      <c r="N121" t="s">
        <v>456</v>
      </c>
      <c r="O121" t="s">
        <v>52</v>
      </c>
      <c r="P121" s="3">
        <v>154.21</v>
      </c>
      <c r="Q121" s="3">
        <v>96.11</v>
      </c>
      <c r="R121" s="4">
        <f t="shared" si="2"/>
        <v>0.37675896504766232</v>
      </c>
      <c r="S121">
        <v>72</v>
      </c>
      <c r="T121">
        <v>36</v>
      </c>
      <c r="U121" s="3">
        <f t="shared" si="3"/>
        <v>11103.12</v>
      </c>
      <c r="V121" t="s">
        <v>41</v>
      </c>
      <c r="W121" t="s">
        <v>102</v>
      </c>
      <c r="X121">
        <v>3.4</v>
      </c>
      <c r="Y121" t="s">
        <v>43</v>
      </c>
      <c r="Z121">
        <v>750</v>
      </c>
      <c r="AA121" t="s">
        <v>85</v>
      </c>
      <c r="AB121">
        <v>10</v>
      </c>
      <c r="AC121">
        <v>2023</v>
      </c>
      <c r="AD121">
        <v>2027</v>
      </c>
    </row>
    <row r="122" spans="1:30">
      <c r="A122" t="s">
        <v>457</v>
      </c>
      <c r="B122" t="s">
        <v>458</v>
      </c>
      <c r="C122" t="s">
        <v>115</v>
      </c>
      <c r="D122" t="s">
        <v>789</v>
      </c>
      <c r="E122" t="s">
        <v>237</v>
      </c>
      <c r="F122">
        <v>2006</v>
      </c>
      <c r="G122" t="s">
        <v>34</v>
      </c>
      <c r="H122" t="s">
        <v>66</v>
      </c>
      <c r="I122">
        <v>14.5</v>
      </c>
      <c r="J122" t="s">
        <v>36</v>
      </c>
      <c r="K122" t="s">
        <v>37</v>
      </c>
      <c r="L122" t="s">
        <v>50</v>
      </c>
      <c r="M122" t="s">
        <v>38</v>
      </c>
      <c r="N122" t="s">
        <v>112</v>
      </c>
      <c r="O122" t="s">
        <v>40</v>
      </c>
      <c r="P122" s="3">
        <v>336.44</v>
      </c>
      <c r="Q122" s="3">
        <v>163.12</v>
      </c>
      <c r="R122" s="4">
        <f t="shared" si="2"/>
        <v>0.51515872072286295</v>
      </c>
      <c r="S122">
        <v>72</v>
      </c>
      <c r="T122">
        <v>50</v>
      </c>
      <c r="U122" s="3">
        <f t="shared" si="3"/>
        <v>24223.68</v>
      </c>
      <c r="V122" t="s">
        <v>77</v>
      </c>
      <c r="W122" t="s">
        <v>107</v>
      </c>
      <c r="X122">
        <v>3.2</v>
      </c>
      <c r="Y122" t="s">
        <v>43</v>
      </c>
      <c r="Z122">
        <v>750</v>
      </c>
      <c r="AA122" t="s">
        <v>61</v>
      </c>
      <c r="AB122">
        <v>12</v>
      </c>
      <c r="AC122">
        <v>2023</v>
      </c>
      <c r="AD122">
        <v>2036</v>
      </c>
    </row>
    <row r="123" spans="1:30">
      <c r="A123" t="s">
        <v>459</v>
      </c>
      <c r="B123" t="s">
        <v>460</v>
      </c>
      <c r="C123" t="s">
        <v>47</v>
      </c>
      <c r="D123" t="s">
        <v>768</v>
      </c>
      <c r="E123" t="s">
        <v>110</v>
      </c>
      <c r="F123">
        <v>2007</v>
      </c>
      <c r="G123" t="s">
        <v>34</v>
      </c>
      <c r="H123" t="s">
        <v>58</v>
      </c>
      <c r="I123">
        <v>8.1</v>
      </c>
      <c r="J123" t="s">
        <v>36</v>
      </c>
      <c r="K123" t="s">
        <v>37</v>
      </c>
      <c r="L123" t="s">
        <v>37</v>
      </c>
      <c r="M123" t="s">
        <v>38</v>
      </c>
      <c r="N123" t="s">
        <v>250</v>
      </c>
      <c r="O123" t="s">
        <v>118</v>
      </c>
      <c r="P123" s="3">
        <v>176.85</v>
      </c>
      <c r="Q123" s="3">
        <v>124.65</v>
      </c>
      <c r="R123" s="4">
        <f t="shared" si="2"/>
        <v>0.29516539440203554</v>
      </c>
      <c r="S123">
        <v>36</v>
      </c>
      <c r="T123">
        <v>36</v>
      </c>
      <c r="U123" s="3">
        <f t="shared" si="3"/>
        <v>6366.5999999999995</v>
      </c>
      <c r="V123" t="s">
        <v>41</v>
      </c>
      <c r="W123" t="s">
        <v>53</v>
      </c>
      <c r="X123">
        <v>4.5999999999999996</v>
      </c>
      <c r="Y123" t="s">
        <v>71</v>
      </c>
      <c r="Z123">
        <v>750</v>
      </c>
      <c r="AA123" t="s">
        <v>44</v>
      </c>
      <c r="AB123">
        <v>18</v>
      </c>
      <c r="AC123">
        <v>2023</v>
      </c>
      <c r="AD123">
        <v>2038</v>
      </c>
    </row>
    <row r="124" spans="1:30">
      <c r="A124" t="s">
        <v>461</v>
      </c>
      <c r="B124" t="s">
        <v>462</v>
      </c>
      <c r="C124" t="s">
        <v>132</v>
      </c>
      <c r="D124" t="s">
        <v>771</v>
      </c>
      <c r="E124" t="s">
        <v>307</v>
      </c>
      <c r="F124">
        <v>2007</v>
      </c>
      <c r="G124" t="s">
        <v>88</v>
      </c>
      <c r="H124" t="s">
        <v>193</v>
      </c>
      <c r="I124">
        <v>15.5</v>
      </c>
      <c r="J124" t="s">
        <v>36</v>
      </c>
      <c r="K124" t="s">
        <v>37</v>
      </c>
      <c r="L124" t="s">
        <v>37</v>
      </c>
      <c r="M124" t="s">
        <v>59</v>
      </c>
      <c r="N124" t="s">
        <v>463</v>
      </c>
      <c r="O124" t="s">
        <v>125</v>
      </c>
      <c r="P124" s="3">
        <v>90.38</v>
      </c>
      <c r="Q124" s="3">
        <v>34.299999999999997</v>
      </c>
      <c r="R124" s="4">
        <f t="shared" si="2"/>
        <v>0.62049125912812575</v>
      </c>
      <c r="S124">
        <v>5</v>
      </c>
      <c r="T124">
        <v>12</v>
      </c>
      <c r="U124" s="3">
        <f t="shared" si="3"/>
        <v>451.9</v>
      </c>
      <c r="V124" t="s">
        <v>41</v>
      </c>
      <c r="W124" t="s">
        <v>42</v>
      </c>
      <c r="X124">
        <v>3.6</v>
      </c>
      <c r="Y124" t="s">
        <v>43</v>
      </c>
      <c r="Z124">
        <v>750</v>
      </c>
      <c r="AA124" t="s">
        <v>44</v>
      </c>
      <c r="AB124">
        <v>18</v>
      </c>
      <c r="AC124">
        <v>2028</v>
      </c>
      <c r="AD124">
        <v>2040</v>
      </c>
    </row>
    <row r="125" spans="1:30">
      <c r="A125" t="s">
        <v>464</v>
      </c>
      <c r="B125" t="s">
        <v>465</v>
      </c>
      <c r="C125" t="s">
        <v>32</v>
      </c>
      <c r="D125" t="s">
        <v>764</v>
      </c>
      <c r="E125" t="s">
        <v>160</v>
      </c>
      <c r="F125">
        <v>2004</v>
      </c>
      <c r="G125" t="s">
        <v>88</v>
      </c>
      <c r="H125" t="s">
        <v>161</v>
      </c>
      <c r="I125">
        <v>10.4</v>
      </c>
      <c r="J125" t="s">
        <v>36</v>
      </c>
      <c r="K125" t="s">
        <v>37</v>
      </c>
      <c r="L125" t="s">
        <v>37</v>
      </c>
      <c r="M125" t="s">
        <v>59</v>
      </c>
      <c r="N125" t="s">
        <v>390</v>
      </c>
      <c r="O125" t="s">
        <v>195</v>
      </c>
      <c r="P125" s="3">
        <v>187.72</v>
      </c>
      <c r="Q125" s="3">
        <v>79.14</v>
      </c>
      <c r="R125" s="4">
        <f t="shared" si="2"/>
        <v>0.57841466013211162</v>
      </c>
      <c r="S125">
        <v>8</v>
      </c>
      <c r="T125">
        <v>24</v>
      </c>
      <c r="U125" s="3">
        <f t="shared" si="3"/>
        <v>1501.76</v>
      </c>
      <c r="V125" t="s">
        <v>41</v>
      </c>
      <c r="W125" t="s">
        <v>42</v>
      </c>
      <c r="X125">
        <v>4.5</v>
      </c>
      <c r="Y125" t="s">
        <v>71</v>
      </c>
      <c r="Z125">
        <v>1500</v>
      </c>
      <c r="AA125" t="s">
        <v>44</v>
      </c>
      <c r="AB125">
        <v>8</v>
      </c>
      <c r="AC125">
        <v>2028</v>
      </c>
      <c r="AD125">
        <v>2033</v>
      </c>
    </row>
    <row r="126" spans="1:30">
      <c r="A126" t="s">
        <v>466</v>
      </c>
      <c r="B126" t="s">
        <v>467</v>
      </c>
      <c r="C126" t="s">
        <v>94</v>
      </c>
      <c r="D126" t="s">
        <v>776</v>
      </c>
      <c r="E126" t="s">
        <v>75</v>
      </c>
      <c r="F126">
        <v>2021</v>
      </c>
      <c r="G126" t="s">
        <v>34</v>
      </c>
      <c r="H126" t="s">
        <v>49</v>
      </c>
      <c r="I126">
        <v>15.8</v>
      </c>
      <c r="J126" t="s">
        <v>36</v>
      </c>
      <c r="K126" t="s">
        <v>59</v>
      </c>
      <c r="L126" t="s">
        <v>50</v>
      </c>
      <c r="M126" t="s">
        <v>38</v>
      </c>
      <c r="N126" t="s">
        <v>243</v>
      </c>
      <c r="O126" t="s">
        <v>98</v>
      </c>
      <c r="P126" s="3">
        <v>161.19</v>
      </c>
      <c r="Q126" s="3">
        <v>83.89</v>
      </c>
      <c r="R126" s="4">
        <f t="shared" si="2"/>
        <v>0.47955828525342764</v>
      </c>
      <c r="S126">
        <v>72</v>
      </c>
      <c r="T126">
        <v>6</v>
      </c>
      <c r="U126" s="3">
        <f t="shared" si="3"/>
        <v>11605.68</v>
      </c>
      <c r="V126" t="s">
        <v>77</v>
      </c>
      <c r="W126" t="s">
        <v>53</v>
      </c>
      <c r="X126">
        <v>4.7</v>
      </c>
      <c r="Y126" t="s">
        <v>43</v>
      </c>
      <c r="Z126">
        <v>750</v>
      </c>
      <c r="AA126" t="s">
        <v>44</v>
      </c>
      <c r="AB126">
        <v>16</v>
      </c>
      <c r="AC126">
        <v>2028</v>
      </c>
      <c r="AD126">
        <v>2041</v>
      </c>
    </row>
    <row r="127" spans="1:30">
      <c r="A127" t="s">
        <v>468</v>
      </c>
      <c r="B127" t="s">
        <v>469</v>
      </c>
      <c r="C127" t="s">
        <v>74</v>
      </c>
      <c r="D127" t="s">
        <v>770</v>
      </c>
      <c r="E127" t="s">
        <v>188</v>
      </c>
      <c r="F127">
        <v>2003</v>
      </c>
      <c r="G127" t="s">
        <v>34</v>
      </c>
      <c r="H127" t="s">
        <v>35</v>
      </c>
      <c r="I127">
        <v>15.8</v>
      </c>
      <c r="J127" t="s">
        <v>36</v>
      </c>
      <c r="K127" t="s">
        <v>50</v>
      </c>
      <c r="L127" t="s">
        <v>59</v>
      </c>
      <c r="M127" t="s">
        <v>38</v>
      </c>
      <c r="N127" t="s">
        <v>341</v>
      </c>
      <c r="O127" t="s">
        <v>118</v>
      </c>
      <c r="P127" s="3">
        <v>171.54</v>
      </c>
      <c r="Q127" s="3">
        <v>87.99</v>
      </c>
      <c r="R127" s="4">
        <f t="shared" si="2"/>
        <v>0.48705841203217909</v>
      </c>
      <c r="S127">
        <v>120</v>
      </c>
      <c r="T127">
        <v>12</v>
      </c>
      <c r="U127" s="3">
        <f t="shared" si="3"/>
        <v>20584.8</v>
      </c>
      <c r="V127" t="s">
        <v>41</v>
      </c>
      <c r="W127" t="s">
        <v>102</v>
      </c>
      <c r="X127">
        <v>4.8</v>
      </c>
      <c r="Y127" t="s">
        <v>71</v>
      </c>
      <c r="Z127">
        <v>750</v>
      </c>
      <c r="AA127" t="s">
        <v>85</v>
      </c>
      <c r="AB127">
        <v>10</v>
      </c>
      <c r="AC127">
        <v>2028</v>
      </c>
      <c r="AD127">
        <v>2042</v>
      </c>
    </row>
    <row r="128" spans="1:30">
      <c r="A128" t="s">
        <v>470</v>
      </c>
      <c r="B128" t="s">
        <v>471</v>
      </c>
      <c r="C128" t="s">
        <v>56</v>
      </c>
      <c r="D128" t="s">
        <v>795</v>
      </c>
      <c r="E128" t="s">
        <v>128</v>
      </c>
      <c r="F128">
        <v>2023</v>
      </c>
      <c r="G128" t="s">
        <v>34</v>
      </c>
      <c r="H128" t="s">
        <v>111</v>
      </c>
      <c r="I128">
        <v>9.5</v>
      </c>
      <c r="J128" t="s">
        <v>81</v>
      </c>
      <c r="K128" t="s">
        <v>59</v>
      </c>
      <c r="L128" t="s">
        <v>50</v>
      </c>
      <c r="M128" t="s">
        <v>38</v>
      </c>
      <c r="N128" t="s">
        <v>76</v>
      </c>
      <c r="O128" t="s">
        <v>98</v>
      </c>
      <c r="P128" s="3">
        <v>249.31</v>
      </c>
      <c r="Q128" s="3">
        <v>95.75</v>
      </c>
      <c r="R128" s="4">
        <f t="shared" si="2"/>
        <v>0.6159399943845012</v>
      </c>
      <c r="S128">
        <v>12</v>
      </c>
      <c r="T128">
        <v>24</v>
      </c>
      <c r="U128" s="3">
        <f t="shared" si="3"/>
        <v>2991.7200000000003</v>
      </c>
      <c r="V128" t="s">
        <v>41</v>
      </c>
      <c r="W128" t="s">
        <v>42</v>
      </c>
      <c r="X128">
        <v>3.3</v>
      </c>
      <c r="Y128" t="s">
        <v>43</v>
      </c>
      <c r="Z128">
        <v>750</v>
      </c>
      <c r="AA128" t="s">
        <v>85</v>
      </c>
      <c r="AB128">
        <v>10</v>
      </c>
      <c r="AC128">
        <v>2026</v>
      </c>
      <c r="AD128">
        <v>2040</v>
      </c>
    </row>
    <row r="129" spans="1:30">
      <c r="A129" t="s">
        <v>472</v>
      </c>
      <c r="B129" t="s">
        <v>473</v>
      </c>
      <c r="C129" t="s">
        <v>32</v>
      </c>
      <c r="D129" t="s">
        <v>759</v>
      </c>
      <c r="E129" t="s">
        <v>313</v>
      </c>
      <c r="F129">
        <v>2016</v>
      </c>
      <c r="G129" t="s">
        <v>34</v>
      </c>
      <c r="H129" t="s">
        <v>96</v>
      </c>
      <c r="I129">
        <v>10.3</v>
      </c>
      <c r="J129" t="s">
        <v>36</v>
      </c>
      <c r="K129" t="s">
        <v>59</v>
      </c>
      <c r="L129" t="s">
        <v>59</v>
      </c>
      <c r="M129" t="s">
        <v>38</v>
      </c>
      <c r="N129" t="s">
        <v>474</v>
      </c>
      <c r="O129" t="s">
        <v>98</v>
      </c>
      <c r="P129" s="3">
        <v>128.33000000000001</v>
      </c>
      <c r="Q129" s="3">
        <v>73.400000000000006</v>
      </c>
      <c r="R129" s="4">
        <f t="shared" si="2"/>
        <v>0.42803709187251621</v>
      </c>
      <c r="S129">
        <v>96</v>
      </c>
      <c r="T129">
        <v>24</v>
      </c>
      <c r="U129" s="3">
        <f t="shared" si="3"/>
        <v>12319.68</v>
      </c>
      <c r="V129" t="s">
        <v>41</v>
      </c>
      <c r="W129" t="s">
        <v>102</v>
      </c>
      <c r="X129">
        <v>4.5999999999999996</v>
      </c>
      <c r="Y129" t="s">
        <v>71</v>
      </c>
      <c r="Z129">
        <v>750</v>
      </c>
      <c r="AA129" t="s">
        <v>61</v>
      </c>
      <c r="AB129">
        <v>16</v>
      </c>
      <c r="AC129">
        <v>2023</v>
      </c>
      <c r="AD129">
        <v>2033</v>
      </c>
    </row>
    <row r="130" spans="1:30">
      <c r="A130" t="s">
        <v>475</v>
      </c>
      <c r="B130" t="s">
        <v>476</v>
      </c>
      <c r="C130" t="s">
        <v>74</v>
      </c>
      <c r="D130" t="s">
        <v>796</v>
      </c>
      <c r="E130" t="s">
        <v>149</v>
      </c>
      <c r="F130">
        <v>2018</v>
      </c>
      <c r="G130" t="s">
        <v>34</v>
      </c>
      <c r="H130" t="s">
        <v>66</v>
      </c>
      <c r="I130">
        <v>14.7</v>
      </c>
      <c r="J130" t="s">
        <v>36</v>
      </c>
      <c r="K130" t="s">
        <v>59</v>
      </c>
      <c r="L130" t="s">
        <v>37</v>
      </c>
      <c r="M130" t="s">
        <v>38</v>
      </c>
      <c r="N130" t="s">
        <v>39</v>
      </c>
      <c r="O130" t="s">
        <v>98</v>
      </c>
      <c r="P130" s="3">
        <v>252.2</v>
      </c>
      <c r="Q130" s="3">
        <v>172.94</v>
      </c>
      <c r="R130" s="4">
        <f t="shared" ref="R130:R193" si="4">IFERROR((P130-Q130)/P130,0)</f>
        <v>0.31427438540840602</v>
      </c>
      <c r="S130">
        <v>48</v>
      </c>
      <c r="T130">
        <v>24</v>
      </c>
      <c r="U130" s="3">
        <f t="shared" ref="U130:U193" si="5">P130*S130</f>
        <v>12105.599999999999</v>
      </c>
      <c r="V130" t="s">
        <v>77</v>
      </c>
      <c r="W130" t="s">
        <v>70</v>
      </c>
      <c r="X130">
        <v>5</v>
      </c>
      <c r="Y130" t="s">
        <v>43</v>
      </c>
      <c r="Z130">
        <v>1500</v>
      </c>
      <c r="AA130" t="s">
        <v>44</v>
      </c>
      <c r="AB130">
        <v>18</v>
      </c>
      <c r="AC130">
        <v>2027</v>
      </c>
      <c r="AD130">
        <v>2042</v>
      </c>
    </row>
    <row r="131" spans="1:30">
      <c r="A131" t="s">
        <v>477</v>
      </c>
      <c r="B131" t="s">
        <v>478</v>
      </c>
      <c r="C131" t="s">
        <v>94</v>
      </c>
      <c r="D131" t="s">
        <v>764</v>
      </c>
      <c r="E131" t="s">
        <v>361</v>
      </c>
      <c r="F131">
        <v>2005</v>
      </c>
      <c r="G131" t="s">
        <v>34</v>
      </c>
      <c r="H131" t="s">
        <v>211</v>
      </c>
      <c r="I131">
        <v>10.199999999999999</v>
      </c>
      <c r="J131" t="s">
        <v>36</v>
      </c>
      <c r="K131" t="s">
        <v>37</v>
      </c>
      <c r="L131" t="s">
        <v>50</v>
      </c>
      <c r="M131" t="s">
        <v>38</v>
      </c>
      <c r="N131" t="s">
        <v>166</v>
      </c>
      <c r="O131" t="s">
        <v>118</v>
      </c>
      <c r="P131" s="3">
        <v>962.49</v>
      </c>
      <c r="Q131" s="3">
        <v>464.11</v>
      </c>
      <c r="R131" s="4">
        <f t="shared" si="4"/>
        <v>0.51780278236657007</v>
      </c>
      <c r="S131">
        <v>600</v>
      </c>
      <c r="T131">
        <v>50</v>
      </c>
      <c r="U131" s="3">
        <f t="shared" si="5"/>
        <v>577494</v>
      </c>
      <c r="V131" t="s">
        <v>41</v>
      </c>
      <c r="W131" t="s">
        <v>102</v>
      </c>
      <c r="X131">
        <v>4.9000000000000004</v>
      </c>
      <c r="Y131" t="s">
        <v>43</v>
      </c>
      <c r="Z131">
        <v>375</v>
      </c>
      <c r="AA131" t="s">
        <v>61</v>
      </c>
      <c r="AB131">
        <v>16</v>
      </c>
      <c r="AC131">
        <v>2024</v>
      </c>
      <c r="AD131">
        <v>2030</v>
      </c>
    </row>
    <row r="132" spans="1:30">
      <c r="A132" t="s">
        <v>479</v>
      </c>
      <c r="B132" t="s">
        <v>480</v>
      </c>
      <c r="C132" t="s">
        <v>94</v>
      </c>
      <c r="D132" t="s">
        <v>792</v>
      </c>
      <c r="E132" t="s">
        <v>289</v>
      </c>
      <c r="F132">
        <v>2008</v>
      </c>
      <c r="G132" t="s">
        <v>88</v>
      </c>
      <c r="H132" t="s">
        <v>152</v>
      </c>
      <c r="I132">
        <v>15.6</v>
      </c>
      <c r="J132" t="s">
        <v>36</v>
      </c>
      <c r="K132" t="s">
        <v>59</v>
      </c>
      <c r="L132" t="s">
        <v>37</v>
      </c>
      <c r="M132" t="s">
        <v>59</v>
      </c>
      <c r="N132" t="s">
        <v>481</v>
      </c>
      <c r="O132" t="s">
        <v>91</v>
      </c>
      <c r="P132" s="3">
        <v>109.64</v>
      </c>
      <c r="Q132" s="3">
        <v>75.59</v>
      </c>
      <c r="R132" s="4">
        <f t="shared" si="4"/>
        <v>0.31056183874498355</v>
      </c>
      <c r="S132">
        <v>0</v>
      </c>
      <c r="T132">
        <v>12</v>
      </c>
      <c r="U132" s="3">
        <f t="shared" si="5"/>
        <v>0</v>
      </c>
      <c r="V132" t="s">
        <v>84</v>
      </c>
      <c r="W132" t="s">
        <v>107</v>
      </c>
      <c r="X132">
        <v>4.8</v>
      </c>
      <c r="Y132" t="s">
        <v>43</v>
      </c>
      <c r="Z132">
        <v>1500</v>
      </c>
      <c r="AA132" t="s">
        <v>44</v>
      </c>
      <c r="AB132">
        <v>12</v>
      </c>
      <c r="AC132">
        <v>2026</v>
      </c>
      <c r="AD132">
        <v>2038</v>
      </c>
    </row>
    <row r="133" spans="1:30">
      <c r="A133" t="s">
        <v>482</v>
      </c>
      <c r="B133" t="s">
        <v>483</v>
      </c>
      <c r="C133" t="s">
        <v>115</v>
      </c>
      <c r="D133" t="s">
        <v>771</v>
      </c>
      <c r="E133" t="s">
        <v>33</v>
      </c>
      <c r="F133">
        <v>1999</v>
      </c>
      <c r="G133" t="s">
        <v>88</v>
      </c>
      <c r="H133" t="s">
        <v>123</v>
      </c>
      <c r="I133">
        <v>9.6999999999999993</v>
      </c>
      <c r="J133" t="s">
        <v>81</v>
      </c>
      <c r="K133" t="s">
        <v>37</v>
      </c>
      <c r="L133" t="s">
        <v>37</v>
      </c>
      <c r="M133" t="s">
        <v>59</v>
      </c>
      <c r="N133" t="s">
        <v>484</v>
      </c>
      <c r="O133" t="s">
        <v>201</v>
      </c>
      <c r="P133" s="3">
        <v>260.14999999999998</v>
      </c>
      <c r="Q133" s="3">
        <v>152.30000000000001</v>
      </c>
      <c r="R133" s="4">
        <f t="shared" si="4"/>
        <v>0.41456851816259843</v>
      </c>
      <c r="S133">
        <v>0</v>
      </c>
      <c r="T133">
        <v>12</v>
      </c>
      <c r="U133" s="3">
        <f t="shared" si="5"/>
        <v>0</v>
      </c>
      <c r="V133" t="s">
        <v>84</v>
      </c>
      <c r="W133" t="s">
        <v>70</v>
      </c>
      <c r="X133">
        <v>4.2</v>
      </c>
      <c r="Y133" t="s">
        <v>43</v>
      </c>
      <c r="Z133">
        <v>750</v>
      </c>
      <c r="AA133" t="s">
        <v>85</v>
      </c>
      <c r="AB133">
        <v>12</v>
      </c>
      <c r="AC133">
        <v>2024</v>
      </c>
      <c r="AD133">
        <v>2029</v>
      </c>
    </row>
    <row r="134" spans="1:30">
      <c r="A134" t="s">
        <v>485</v>
      </c>
      <c r="B134" t="s">
        <v>486</v>
      </c>
      <c r="C134" t="s">
        <v>47</v>
      </c>
      <c r="D134" t="s">
        <v>795</v>
      </c>
      <c r="E134" t="s">
        <v>128</v>
      </c>
      <c r="F134">
        <v>2005</v>
      </c>
      <c r="G134" t="s">
        <v>34</v>
      </c>
      <c r="H134" t="s">
        <v>80</v>
      </c>
      <c r="I134">
        <v>9.1999999999999993</v>
      </c>
      <c r="J134" t="s">
        <v>36</v>
      </c>
      <c r="K134" t="s">
        <v>37</v>
      </c>
      <c r="L134" t="s">
        <v>50</v>
      </c>
      <c r="M134" t="s">
        <v>38</v>
      </c>
      <c r="N134" t="s">
        <v>487</v>
      </c>
      <c r="O134" t="s">
        <v>98</v>
      </c>
      <c r="P134" s="3">
        <v>150.44999999999999</v>
      </c>
      <c r="Q134" s="3">
        <v>56.92</v>
      </c>
      <c r="R134" s="4">
        <f t="shared" si="4"/>
        <v>0.62166832834828845</v>
      </c>
      <c r="S134">
        <v>0</v>
      </c>
      <c r="T134">
        <v>50</v>
      </c>
      <c r="U134" s="3">
        <f t="shared" si="5"/>
        <v>0</v>
      </c>
      <c r="V134" t="s">
        <v>84</v>
      </c>
      <c r="W134" t="s">
        <v>53</v>
      </c>
      <c r="X134">
        <v>3.8</v>
      </c>
      <c r="Y134" t="s">
        <v>43</v>
      </c>
      <c r="Z134">
        <v>750</v>
      </c>
      <c r="AA134" t="s">
        <v>85</v>
      </c>
      <c r="AB134">
        <v>10</v>
      </c>
      <c r="AC134">
        <v>2026</v>
      </c>
      <c r="AD134">
        <v>2032</v>
      </c>
    </row>
    <row r="135" spans="1:30">
      <c r="A135" t="s">
        <v>488</v>
      </c>
      <c r="B135" t="s">
        <v>489</v>
      </c>
      <c r="C135" t="s">
        <v>282</v>
      </c>
      <c r="D135" t="s">
        <v>767</v>
      </c>
      <c r="E135" t="s">
        <v>219</v>
      </c>
      <c r="F135">
        <v>2019</v>
      </c>
      <c r="G135" t="s">
        <v>34</v>
      </c>
      <c r="H135" t="s">
        <v>211</v>
      </c>
      <c r="I135">
        <v>14.2</v>
      </c>
      <c r="J135" t="s">
        <v>36</v>
      </c>
      <c r="K135" t="s">
        <v>37</v>
      </c>
      <c r="L135" t="s">
        <v>59</v>
      </c>
      <c r="M135" t="s">
        <v>38</v>
      </c>
      <c r="N135" t="s">
        <v>129</v>
      </c>
      <c r="O135" t="s">
        <v>40</v>
      </c>
      <c r="P135" s="3">
        <v>143</v>
      </c>
      <c r="Q135" s="3">
        <v>84.85</v>
      </c>
      <c r="R135" s="4">
        <f t="shared" si="4"/>
        <v>0.40664335664335666</v>
      </c>
      <c r="S135">
        <v>1</v>
      </c>
      <c r="T135">
        <v>12</v>
      </c>
      <c r="U135" s="3">
        <f t="shared" si="5"/>
        <v>143</v>
      </c>
      <c r="V135" t="s">
        <v>41</v>
      </c>
      <c r="W135" t="s">
        <v>107</v>
      </c>
      <c r="X135">
        <v>4.8</v>
      </c>
      <c r="Y135" t="s">
        <v>43</v>
      </c>
      <c r="Z135">
        <v>750</v>
      </c>
      <c r="AA135" t="s">
        <v>61</v>
      </c>
      <c r="AB135">
        <v>10</v>
      </c>
      <c r="AC135">
        <v>2026</v>
      </c>
      <c r="AD135">
        <v>2037</v>
      </c>
    </row>
    <row r="136" spans="1:30">
      <c r="A136" t="s">
        <v>490</v>
      </c>
      <c r="B136" t="s">
        <v>491</v>
      </c>
      <c r="C136" t="s">
        <v>47</v>
      </c>
      <c r="D136" t="s">
        <v>758</v>
      </c>
      <c r="E136" t="s">
        <v>101</v>
      </c>
      <c r="F136">
        <v>2012</v>
      </c>
      <c r="G136" t="s">
        <v>88</v>
      </c>
      <c r="H136" t="s">
        <v>193</v>
      </c>
      <c r="I136">
        <v>9</v>
      </c>
      <c r="J136" t="s">
        <v>36</v>
      </c>
      <c r="K136" t="s">
        <v>37</v>
      </c>
      <c r="L136" t="s">
        <v>37</v>
      </c>
      <c r="M136" t="s">
        <v>59</v>
      </c>
      <c r="N136" t="s">
        <v>492</v>
      </c>
      <c r="O136" t="s">
        <v>91</v>
      </c>
      <c r="P136" s="3">
        <v>88.46</v>
      </c>
      <c r="Q136" s="3">
        <v>55.16</v>
      </c>
      <c r="R136" s="4">
        <f t="shared" si="4"/>
        <v>0.3764413294144246</v>
      </c>
      <c r="S136">
        <v>5</v>
      </c>
      <c r="T136">
        <v>36</v>
      </c>
      <c r="U136" s="3">
        <f t="shared" si="5"/>
        <v>442.29999999999995</v>
      </c>
      <c r="V136" t="s">
        <v>41</v>
      </c>
      <c r="W136" t="s">
        <v>53</v>
      </c>
      <c r="X136">
        <v>3.5</v>
      </c>
      <c r="Y136" t="s">
        <v>43</v>
      </c>
      <c r="Z136">
        <v>1500</v>
      </c>
      <c r="AA136" t="s">
        <v>61</v>
      </c>
      <c r="AB136">
        <v>8</v>
      </c>
      <c r="AC136">
        <v>2026</v>
      </c>
      <c r="AD136">
        <v>2030</v>
      </c>
    </row>
    <row r="137" spans="1:30">
      <c r="A137" t="s">
        <v>493</v>
      </c>
      <c r="B137" t="s">
        <v>494</v>
      </c>
      <c r="C137" t="s">
        <v>141</v>
      </c>
      <c r="D137" t="s">
        <v>786</v>
      </c>
      <c r="E137" t="s">
        <v>268</v>
      </c>
      <c r="F137">
        <v>2009</v>
      </c>
      <c r="G137" t="s">
        <v>88</v>
      </c>
      <c r="H137" t="s">
        <v>161</v>
      </c>
      <c r="I137">
        <v>8.9</v>
      </c>
      <c r="J137" t="s">
        <v>36</v>
      </c>
      <c r="K137" t="s">
        <v>59</v>
      </c>
      <c r="L137" t="s">
        <v>37</v>
      </c>
      <c r="M137" t="s">
        <v>59</v>
      </c>
      <c r="N137" t="s">
        <v>448</v>
      </c>
      <c r="O137" t="s">
        <v>201</v>
      </c>
      <c r="P137" s="3">
        <v>375.68</v>
      </c>
      <c r="Q137" s="3">
        <v>250.5</v>
      </c>
      <c r="R137" s="4">
        <f t="shared" si="4"/>
        <v>0.33320911413969334</v>
      </c>
      <c r="S137">
        <v>2</v>
      </c>
      <c r="T137">
        <v>36</v>
      </c>
      <c r="U137" s="3">
        <f t="shared" si="5"/>
        <v>751.36</v>
      </c>
      <c r="V137" t="s">
        <v>41</v>
      </c>
      <c r="W137" t="s">
        <v>107</v>
      </c>
      <c r="X137">
        <v>4.7</v>
      </c>
      <c r="Y137" t="s">
        <v>43</v>
      </c>
      <c r="Z137">
        <v>750</v>
      </c>
      <c r="AA137" t="s">
        <v>85</v>
      </c>
      <c r="AB137">
        <v>18</v>
      </c>
      <c r="AC137">
        <v>2028</v>
      </c>
      <c r="AD137">
        <v>2036</v>
      </c>
    </row>
    <row r="138" spans="1:30">
      <c r="A138" t="s">
        <v>495</v>
      </c>
      <c r="B138" t="s">
        <v>496</v>
      </c>
      <c r="C138" t="s">
        <v>132</v>
      </c>
      <c r="D138" t="s">
        <v>781</v>
      </c>
      <c r="E138" t="s">
        <v>48</v>
      </c>
      <c r="F138">
        <v>2020</v>
      </c>
      <c r="G138" t="s">
        <v>34</v>
      </c>
      <c r="H138" t="s">
        <v>96</v>
      </c>
      <c r="I138">
        <v>13.5</v>
      </c>
      <c r="J138" t="s">
        <v>36</v>
      </c>
      <c r="K138" t="s">
        <v>50</v>
      </c>
      <c r="L138" t="s">
        <v>59</v>
      </c>
      <c r="M138" t="s">
        <v>38</v>
      </c>
      <c r="N138" t="s">
        <v>341</v>
      </c>
      <c r="O138" t="s">
        <v>52</v>
      </c>
      <c r="P138" s="3">
        <v>59.46</v>
      </c>
      <c r="Q138" s="3">
        <v>40.1</v>
      </c>
      <c r="R138" s="4">
        <f t="shared" si="4"/>
        <v>0.32559704002690881</v>
      </c>
      <c r="S138">
        <v>72</v>
      </c>
      <c r="T138">
        <v>12</v>
      </c>
      <c r="U138" s="3">
        <f t="shared" si="5"/>
        <v>4281.12</v>
      </c>
      <c r="V138" t="s">
        <v>41</v>
      </c>
      <c r="W138" t="s">
        <v>53</v>
      </c>
      <c r="X138">
        <v>4.9000000000000004</v>
      </c>
      <c r="Y138" t="s">
        <v>43</v>
      </c>
      <c r="Z138">
        <v>750</v>
      </c>
      <c r="AA138" t="s">
        <v>61</v>
      </c>
      <c r="AB138">
        <v>14</v>
      </c>
      <c r="AC138">
        <v>2023</v>
      </c>
      <c r="AD138">
        <v>2036</v>
      </c>
    </row>
    <row r="139" spans="1:30">
      <c r="A139" t="s">
        <v>497</v>
      </c>
      <c r="B139" t="s">
        <v>498</v>
      </c>
      <c r="C139" t="s">
        <v>115</v>
      </c>
      <c r="D139" t="s">
        <v>765</v>
      </c>
      <c r="E139" t="s">
        <v>169</v>
      </c>
      <c r="F139">
        <v>2024</v>
      </c>
      <c r="G139" t="s">
        <v>151</v>
      </c>
      <c r="H139" t="s">
        <v>80</v>
      </c>
      <c r="I139">
        <v>8.1</v>
      </c>
      <c r="J139" t="s">
        <v>81</v>
      </c>
      <c r="K139" t="s">
        <v>59</v>
      </c>
      <c r="L139" t="s">
        <v>37</v>
      </c>
      <c r="M139" t="s">
        <v>67</v>
      </c>
      <c r="N139" t="s">
        <v>499</v>
      </c>
      <c r="O139" t="s">
        <v>154</v>
      </c>
      <c r="P139" s="3">
        <v>112.89</v>
      </c>
      <c r="Q139" s="3">
        <v>79.290000000000006</v>
      </c>
      <c r="R139" s="4">
        <f t="shared" si="4"/>
        <v>0.29763486579856491</v>
      </c>
      <c r="S139">
        <v>120</v>
      </c>
      <c r="T139">
        <v>24</v>
      </c>
      <c r="U139" s="3">
        <f t="shared" si="5"/>
        <v>13546.8</v>
      </c>
      <c r="V139" t="s">
        <v>77</v>
      </c>
      <c r="W139" t="s">
        <v>107</v>
      </c>
      <c r="X139">
        <v>3.6</v>
      </c>
      <c r="Y139" t="s">
        <v>43</v>
      </c>
      <c r="Z139">
        <v>750</v>
      </c>
      <c r="AA139" t="s">
        <v>85</v>
      </c>
      <c r="AB139">
        <v>10</v>
      </c>
      <c r="AC139">
        <v>2027</v>
      </c>
      <c r="AD139">
        <v>2040</v>
      </c>
    </row>
    <row r="140" spans="1:30">
      <c r="A140" t="s">
        <v>500</v>
      </c>
      <c r="B140" t="s">
        <v>501</v>
      </c>
      <c r="C140" t="s">
        <v>132</v>
      </c>
      <c r="D140" t="s">
        <v>767</v>
      </c>
      <c r="E140" t="s">
        <v>75</v>
      </c>
      <c r="F140">
        <v>2008</v>
      </c>
      <c r="G140" t="s">
        <v>34</v>
      </c>
      <c r="H140" t="s">
        <v>111</v>
      </c>
      <c r="I140">
        <v>11.6</v>
      </c>
      <c r="J140" t="s">
        <v>36</v>
      </c>
      <c r="K140" t="s">
        <v>37</v>
      </c>
      <c r="L140" t="s">
        <v>37</v>
      </c>
      <c r="M140" t="s">
        <v>38</v>
      </c>
      <c r="N140" t="s">
        <v>250</v>
      </c>
      <c r="O140" t="s">
        <v>118</v>
      </c>
      <c r="P140" s="3">
        <v>211.24</v>
      </c>
      <c r="Q140" s="3">
        <v>139.13999999999999</v>
      </c>
      <c r="R140" s="4">
        <f t="shared" si="4"/>
        <v>0.34131793220980883</v>
      </c>
      <c r="S140">
        <v>48</v>
      </c>
      <c r="T140">
        <v>6</v>
      </c>
      <c r="U140" s="3">
        <f t="shared" si="5"/>
        <v>10139.52</v>
      </c>
      <c r="V140" t="s">
        <v>41</v>
      </c>
      <c r="W140" t="s">
        <v>102</v>
      </c>
      <c r="X140">
        <v>5</v>
      </c>
      <c r="Y140" t="s">
        <v>43</v>
      </c>
      <c r="Z140">
        <v>375</v>
      </c>
      <c r="AA140" t="s">
        <v>85</v>
      </c>
      <c r="AB140">
        <v>16</v>
      </c>
      <c r="AC140">
        <v>2023</v>
      </c>
      <c r="AD140">
        <v>2032</v>
      </c>
    </row>
    <row r="141" spans="1:30">
      <c r="A141" t="s">
        <v>502</v>
      </c>
      <c r="B141" t="s">
        <v>503</v>
      </c>
      <c r="C141" t="s">
        <v>282</v>
      </c>
      <c r="D141" t="s">
        <v>795</v>
      </c>
      <c r="E141" t="s">
        <v>228</v>
      </c>
      <c r="F141">
        <v>2001</v>
      </c>
      <c r="G141" t="s">
        <v>34</v>
      </c>
      <c r="H141" t="s">
        <v>211</v>
      </c>
      <c r="I141">
        <v>7.4</v>
      </c>
      <c r="J141" t="s">
        <v>81</v>
      </c>
      <c r="K141" t="s">
        <v>50</v>
      </c>
      <c r="L141" t="s">
        <v>50</v>
      </c>
      <c r="M141" t="s">
        <v>38</v>
      </c>
      <c r="N141" t="s">
        <v>112</v>
      </c>
      <c r="O141" t="s">
        <v>40</v>
      </c>
      <c r="P141" s="3">
        <v>48.95</v>
      </c>
      <c r="Q141" s="3">
        <v>26.91</v>
      </c>
      <c r="R141" s="4">
        <f t="shared" si="4"/>
        <v>0.45025536261491322</v>
      </c>
      <c r="S141">
        <v>48</v>
      </c>
      <c r="T141">
        <v>24</v>
      </c>
      <c r="U141" s="3">
        <f t="shared" si="5"/>
        <v>2349.6000000000004</v>
      </c>
      <c r="V141" t="s">
        <v>41</v>
      </c>
      <c r="W141" t="s">
        <v>42</v>
      </c>
      <c r="X141">
        <v>3.9</v>
      </c>
      <c r="Y141" t="s">
        <v>71</v>
      </c>
      <c r="Z141">
        <v>750</v>
      </c>
      <c r="AA141" t="s">
        <v>85</v>
      </c>
      <c r="AB141">
        <v>16</v>
      </c>
      <c r="AC141">
        <v>2028</v>
      </c>
      <c r="AD141">
        <v>2038</v>
      </c>
    </row>
    <row r="142" spans="1:30">
      <c r="A142" t="s">
        <v>504</v>
      </c>
      <c r="B142" t="s">
        <v>505</v>
      </c>
      <c r="C142" t="s">
        <v>132</v>
      </c>
      <c r="D142" t="s">
        <v>752</v>
      </c>
      <c r="E142" t="s">
        <v>75</v>
      </c>
      <c r="F142">
        <v>2020</v>
      </c>
      <c r="G142" t="s">
        <v>151</v>
      </c>
      <c r="H142" t="s">
        <v>285</v>
      </c>
      <c r="I142">
        <v>12.1</v>
      </c>
      <c r="J142" t="s">
        <v>81</v>
      </c>
      <c r="K142" t="s">
        <v>50</v>
      </c>
      <c r="L142" t="s">
        <v>37</v>
      </c>
      <c r="M142" t="s">
        <v>67</v>
      </c>
      <c r="N142" t="s">
        <v>506</v>
      </c>
      <c r="O142" t="s">
        <v>356</v>
      </c>
      <c r="P142" s="3">
        <v>202.7</v>
      </c>
      <c r="Q142" s="3">
        <v>77.55</v>
      </c>
      <c r="R142" s="4">
        <f t="shared" si="4"/>
        <v>0.6174148988653182</v>
      </c>
      <c r="S142">
        <v>5</v>
      </c>
      <c r="T142">
        <v>50</v>
      </c>
      <c r="U142" s="3">
        <f t="shared" si="5"/>
        <v>1013.5</v>
      </c>
      <c r="V142" t="s">
        <v>77</v>
      </c>
      <c r="W142" t="s">
        <v>53</v>
      </c>
      <c r="X142">
        <v>4.3</v>
      </c>
      <c r="Y142" t="s">
        <v>71</v>
      </c>
      <c r="Z142">
        <v>1500</v>
      </c>
      <c r="AA142" t="s">
        <v>61</v>
      </c>
      <c r="AB142">
        <v>14</v>
      </c>
      <c r="AC142">
        <v>2023</v>
      </c>
      <c r="AD142">
        <v>2030</v>
      </c>
    </row>
    <row r="143" spans="1:30">
      <c r="A143" t="s">
        <v>507</v>
      </c>
      <c r="B143" t="s">
        <v>508</v>
      </c>
      <c r="C143" t="s">
        <v>177</v>
      </c>
      <c r="D143" t="s">
        <v>781</v>
      </c>
      <c r="E143" t="s">
        <v>361</v>
      </c>
      <c r="F143">
        <v>2017</v>
      </c>
      <c r="G143" t="s">
        <v>65</v>
      </c>
      <c r="H143" t="s">
        <v>80</v>
      </c>
      <c r="I143">
        <v>8.1999999999999993</v>
      </c>
      <c r="J143" t="s">
        <v>36</v>
      </c>
      <c r="K143" t="s">
        <v>37</v>
      </c>
      <c r="L143" t="s">
        <v>37</v>
      </c>
      <c r="M143" t="s">
        <v>67</v>
      </c>
      <c r="N143" t="s">
        <v>330</v>
      </c>
      <c r="O143" t="s">
        <v>230</v>
      </c>
      <c r="P143" s="3">
        <v>160.5</v>
      </c>
      <c r="Q143" s="3">
        <v>84.6</v>
      </c>
      <c r="R143" s="4">
        <f t="shared" si="4"/>
        <v>0.47289719626168225</v>
      </c>
      <c r="S143">
        <v>200</v>
      </c>
      <c r="T143">
        <v>24</v>
      </c>
      <c r="U143" s="3">
        <f t="shared" si="5"/>
        <v>32100</v>
      </c>
      <c r="V143" t="s">
        <v>77</v>
      </c>
      <c r="W143" t="s">
        <v>102</v>
      </c>
      <c r="X143">
        <v>3.4</v>
      </c>
      <c r="Y143" t="s">
        <v>43</v>
      </c>
      <c r="Z143">
        <v>1500</v>
      </c>
      <c r="AA143" t="s">
        <v>85</v>
      </c>
      <c r="AB143">
        <v>16</v>
      </c>
      <c r="AC143">
        <v>2026</v>
      </c>
      <c r="AD143">
        <v>2038</v>
      </c>
    </row>
    <row r="144" spans="1:30">
      <c r="A144" t="s">
        <v>509</v>
      </c>
      <c r="B144" t="s">
        <v>510</v>
      </c>
      <c r="C144" t="s">
        <v>282</v>
      </c>
      <c r="D144" t="s">
        <v>780</v>
      </c>
      <c r="E144" t="s">
        <v>116</v>
      </c>
      <c r="F144">
        <v>2019</v>
      </c>
      <c r="G144" t="s">
        <v>34</v>
      </c>
      <c r="H144" t="s">
        <v>58</v>
      </c>
      <c r="I144">
        <v>15.2</v>
      </c>
      <c r="J144" t="s">
        <v>36</v>
      </c>
      <c r="K144" t="s">
        <v>37</v>
      </c>
      <c r="L144" t="s">
        <v>59</v>
      </c>
      <c r="M144" t="s">
        <v>38</v>
      </c>
      <c r="N144" t="s">
        <v>212</v>
      </c>
      <c r="O144" t="s">
        <v>98</v>
      </c>
      <c r="P144" s="3">
        <v>57.17</v>
      </c>
      <c r="Q144" s="3">
        <v>22.42</v>
      </c>
      <c r="R144" s="4">
        <f t="shared" si="4"/>
        <v>0.60783627776806015</v>
      </c>
      <c r="S144">
        <v>1000</v>
      </c>
      <c r="T144">
        <v>6</v>
      </c>
      <c r="U144" s="3">
        <f t="shared" si="5"/>
        <v>57170</v>
      </c>
      <c r="V144" t="s">
        <v>41</v>
      </c>
      <c r="W144" t="s">
        <v>107</v>
      </c>
      <c r="X144">
        <v>4.9000000000000004</v>
      </c>
      <c r="Y144" t="s">
        <v>43</v>
      </c>
      <c r="Z144">
        <v>750</v>
      </c>
      <c r="AA144" t="s">
        <v>61</v>
      </c>
      <c r="AB144">
        <v>16</v>
      </c>
      <c r="AC144">
        <v>2026</v>
      </c>
      <c r="AD144">
        <v>2040</v>
      </c>
    </row>
    <row r="145" spans="1:30">
      <c r="A145" t="s">
        <v>511</v>
      </c>
      <c r="B145" t="s">
        <v>512</v>
      </c>
      <c r="C145" t="s">
        <v>141</v>
      </c>
      <c r="D145" t="s">
        <v>789</v>
      </c>
      <c r="E145" t="s">
        <v>268</v>
      </c>
      <c r="F145">
        <v>2018</v>
      </c>
      <c r="G145" t="s">
        <v>151</v>
      </c>
      <c r="H145" t="s">
        <v>152</v>
      </c>
      <c r="I145">
        <v>10.1</v>
      </c>
      <c r="J145" t="s">
        <v>36</v>
      </c>
      <c r="K145" t="s">
        <v>59</v>
      </c>
      <c r="L145" t="s">
        <v>37</v>
      </c>
      <c r="M145" t="s">
        <v>67</v>
      </c>
      <c r="N145" t="s">
        <v>153</v>
      </c>
      <c r="O145" t="s">
        <v>190</v>
      </c>
      <c r="P145" s="3">
        <v>230.15</v>
      </c>
      <c r="Q145" s="3">
        <v>101.46</v>
      </c>
      <c r="R145" s="4">
        <f t="shared" si="4"/>
        <v>0.55915707147512494</v>
      </c>
      <c r="S145">
        <v>5</v>
      </c>
      <c r="T145">
        <v>50</v>
      </c>
      <c r="U145" s="3">
        <f t="shared" si="5"/>
        <v>1150.75</v>
      </c>
      <c r="V145" t="s">
        <v>41</v>
      </c>
      <c r="W145" t="s">
        <v>107</v>
      </c>
      <c r="X145">
        <v>3.5</v>
      </c>
      <c r="Y145" t="s">
        <v>43</v>
      </c>
      <c r="Z145">
        <v>750</v>
      </c>
      <c r="AA145" t="s">
        <v>85</v>
      </c>
      <c r="AB145">
        <v>10</v>
      </c>
      <c r="AC145">
        <v>2027</v>
      </c>
      <c r="AD145">
        <v>2041</v>
      </c>
    </row>
    <row r="146" spans="1:30">
      <c r="A146" t="s">
        <v>513</v>
      </c>
      <c r="B146" t="s">
        <v>514</v>
      </c>
      <c r="C146" t="s">
        <v>115</v>
      </c>
      <c r="D146" t="s">
        <v>778</v>
      </c>
      <c r="E146" t="s">
        <v>48</v>
      </c>
      <c r="F146">
        <v>2013</v>
      </c>
      <c r="G146" t="s">
        <v>65</v>
      </c>
      <c r="H146" t="s">
        <v>66</v>
      </c>
      <c r="I146">
        <v>8.5</v>
      </c>
      <c r="J146" t="s">
        <v>36</v>
      </c>
      <c r="K146" t="s">
        <v>37</v>
      </c>
      <c r="L146" t="s">
        <v>37</v>
      </c>
      <c r="M146" t="s">
        <v>67</v>
      </c>
      <c r="N146" t="s">
        <v>229</v>
      </c>
      <c r="O146" t="s">
        <v>230</v>
      </c>
      <c r="P146" s="3">
        <v>205.06</v>
      </c>
      <c r="Q146" s="3">
        <v>76.38</v>
      </c>
      <c r="R146" s="4">
        <f t="shared" si="4"/>
        <v>0.62752365161416168</v>
      </c>
      <c r="S146">
        <v>5</v>
      </c>
      <c r="T146">
        <v>50</v>
      </c>
      <c r="U146" s="3">
        <f t="shared" si="5"/>
        <v>1025.3</v>
      </c>
      <c r="V146" t="s">
        <v>41</v>
      </c>
      <c r="W146" t="s">
        <v>102</v>
      </c>
      <c r="X146">
        <v>4.9000000000000004</v>
      </c>
      <c r="Y146" t="s">
        <v>43</v>
      </c>
      <c r="Z146">
        <v>375</v>
      </c>
      <c r="AA146" t="s">
        <v>61</v>
      </c>
      <c r="AB146">
        <v>10</v>
      </c>
      <c r="AC146">
        <v>2026</v>
      </c>
      <c r="AD146">
        <v>2030</v>
      </c>
    </row>
    <row r="147" spans="1:30">
      <c r="A147" t="s">
        <v>515</v>
      </c>
      <c r="B147" t="s">
        <v>516</v>
      </c>
      <c r="C147" t="s">
        <v>121</v>
      </c>
      <c r="D147" t="s">
        <v>763</v>
      </c>
      <c r="E147" t="s">
        <v>361</v>
      </c>
      <c r="F147">
        <v>2014</v>
      </c>
      <c r="G147" t="s">
        <v>34</v>
      </c>
      <c r="H147" t="s">
        <v>58</v>
      </c>
      <c r="I147">
        <v>7.5</v>
      </c>
      <c r="J147" t="s">
        <v>36</v>
      </c>
      <c r="K147" t="s">
        <v>59</v>
      </c>
      <c r="L147" t="s">
        <v>37</v>
      </c>
      <c r="M147" t="s">
        <v>38</v>
      </c>
      <c r="N147" t="s">
        <v>517</v>
      </c>
      <c r="O147" t="s">
        <v>118</v>
      </c>
      <c r="P147" s="3">
        <v>120.46</v>
      </c>
      <c r="Q147" s="3">
        <v>76.290000000000006</v>
      </c>
      <c r="R147" s="4">
        <f t="shared" si="4"/>
        <v>0.36667773534783321</v>
      </c>
      <c r="S147">
        <v>24</v>
      </c>
      <c r="T147">
        <v>36</v>
      </c>
      <c r="U147" s="3">
        <f t="shared" si="5"/>
        <v>2891.04</v>
      </c>
      <c r="V147" t="s">
        <v>41</v>
      </c>
      <c r="W147" t="s">
        <v>107</v>
      </c>
      <c r="X147">
        <v>3.5</v>
      </c>
      <c r="Y147" t="s">
        <v>43</v>
      </c>
      <c r="Z147">
        <v>750</v>
      </c>
      <c r="AA147" t="s">
        <v>44</v>
      </c>
      <c r="AB147">
        <v>8</v>
      </c>
      <c r="AC147">
        <v>2022</v>
      </c>
      <c r="AD147">
        <v>2032</v>
      </c>
    </row>
    <row r="148" spans="1:30">
      <c r="A148" t="s">
        <v>518</v>
      </c>
      <c r="B148" t="s">
        <v>519</v>
      </c>
      <c r="C148" t="s">
        <v>56</v>
      </c>
      <c r="D148" t="s">
        <v>790</v>
      </c>
      <c r="E148" t="s">
        <v>64</v>
      </c>
      <c r="F148">
        <v>2010</v>
      </c>
      <c r="G148" t="s">
        <v>34</v>
      </c>
      <c r="H148" t="s">
        <v>49</v>
      </c>
      <c r="I148">
        <v>13.8</v>
      </c>
      <c r="J148" t="s">
        <v>36</v>
      </c>
      <c r="K148" t="s">
        <v>59</v>
      </c>
      <c r="L148" t="s">
        <v>37</v>
      </c>
      <c r="M148" t="s">
        <v>38</v>
      </c>
      <c r="N148" t="s">
        <v>220</v>
      </c>
      <c r="O148" t="s">
        <v>118</v>
      </c>
      <c r="P148" s="3">
        <v>269.55</v>
      </c>
      <c r="Q148" s="3">
        <v>116.08</v>
      </c>
      <c r="R148" s="4">
        <f t="shared" si="4"/>
        <v>0.5693563346317938</v>
      </c>
      <c r="S148">
        <v>600</v>
      </c>
      <c r="T148">
        <v>12</v>
      </c>
      <c r="U148" s="3">
        <f t="shared" si="5"/>
        <v>161730</v>
      </c>
      <c r="V148" t="s">
        <v>41</v>
      </c>
      <c r="W148" t="s">
        <v>102</v>
      </c>
      <c r="X148">
        <v>4.4000000000000004</v>
      </c>
      <c r="Y148" t="s">
        <v>43</v>
      </c>
      <c r="Z148">
        <v>750</v>
      </c>
      <c r="AA148" t="s">
        <v>85</v>
      </c>
      <c r="AB148">
        <v>14</v>
      </c>
      <c r="AC148">
        <v>2028</v>
      </c>
      <c r="AD148">
        <v>2034</v>
      </c>
    </row>
    <row r="149" spans="1:30">
      <c r="A149" t="s">
        <v>520</v>
      </c>
      <c r="B149" t="s">
        <v>521</v>
      </c>
      <c r="C149" t="s">
        <v>121</v>
      </c>
      <c r="D149" t="s">
        <v>752</v>
      </c>
      <c r="E149" t="s">
        <v>204</v>
      </c>
      <c r="F149">
        <v>2024</v>
      </c>
      <c r="G149" t="s">
        <v>151</v>
      </c>
      <c r="H149" t="s">
        <v>80</v>
      </c>
      <c r="I149">
        <v>8.1999999999999993</v>
      </c>
      <c r="J149" t="s">
        <v>36</v>
      </c>
      <c r="K149" t="s">
        <v>37</v>
      </c>
      <c r="L149" t="s">
        <v>37</v>
      </c>
      <c r="M149" t="s">
        <v>67</v>
      </c>
      <c r="N149" t="s">
        <v>522</v>
      </c>
      <c r="O149" t="s">
        <v>356</v>
      </c>
      <c r="P149" s="3">
        <v>86.13</v>
      </c>
      <c r="Q149" s="3">
        <v>58.4</v>
      </c>
      <c r="R149" s="4">
        <f t="shared" si="4"/>
        <v>0.32195518402414952</v>
      </c>
      <c r="S149">
        <v>72</v>
      </c>
      <c r="T149">
        <v>6</v>
      </c>
      <c r="U149" s="3">
        <f t="shared" si="5"/>
        <v>6201.36</v>
      </c>
      <c r="V149" t="s">
        <v>41</v>
      </c>
      <c r="W149" t="s">
        <v>42</v>
      </c>
      <c r="X149">
        <v>3.5</v>
      </c>
      <c r="Y149" t="s">
        <v>43</v>
      </c>
      <c r="Z149">
        <v>750</v>
      </c>
      <c r="AA149" t="s">
        <v>61</v>
      </c>
      <c r="AB149">
        <v>14</v>
      </c>
      <c r="AC149">
        <v>2023</v>
      </c>
      <c r="AD149">
        <v>2027</v>
      </c>
    </row>
    <row r="150" spans="1:30">
      <c r="A150" t="s">
        <v>523</v>
      </c>
      <c r="B150" t="s">
        <v>524</v>
      </c>
      <c r="C150" t="s">
        <v>132</v>
      </c>
      <c r="D150" t="s">
        <v>795</v>
      </c>
      <c r="E150" t="s">
        <v>289</v>
      </c>
      <c r="F150">
        <v>2001</v>
      </c>
      <c r="G150" t="s">
        <v>88</v>
      </c>
      <c r="H150" t="s">
        <v>152</v>
      </c>
      <c r="I150">
        <v>13</v>
      </c>
      <c r="J150" t="s">
        <v>36</v>
      </c>
      <c r="K150" t="s">
        <v>37</v>
      </c>
      <c r="L150" t="s">
        <v>37</v>
      </c>
      <c r="M150" t="s">
        <v>59</v>
      </c>
      <c r="N150" t="s">
        <v>90</v>
      </c>
      <c r="O150" t="s">
        <v>195</v>
      </c>
      <c r="P150" s="3">
        <v>1549.23</v>
      </c>
      <c r="Q150" s="3">
        <v>967.94</v>
      </c>
      <c r="R150" s="4">
        <f t="shared" si="4"/>
        <v>0.37521220219076573</v>
      </c>
      <c r="S150">
        <v>2</v>
      </c>
      <c r="T150">
        <v>12</v>
      </c>
      <c r="U150" s="3">
        <f t="shared" si="5"/>
        <v>3098.46</v>
      </c>
      <c r="V150" t="s">
        <v>41</v>
      </c>
      <c r="W150" t="s">
        <v>70</v>
      </c>
      <c r="X150">
        <v>3.3</v>
      </c>
      <c r="Y150" t="s">
        <v>71</v>
      </c>
      <c r="Z150">
        <v>750</v>
      </c>
      <c r="AA150" t="s">
        <v>85</v>
      </c>
      <c r="AB150">
        <v>16</v>
      </c>
      <c r="AC150">
        <v>2025</v>
      </c>
      <c r="AD150">
        <v>2040</v>
      </c>
    </row>
    <row r="151" spans="1:30">
      <c r="A151" t="s">
        <v>525</v>
      </c>
      <c r="B151" t="s">
        <v>526</v>
      </c>
      <c r="C151" t="s">
        <v>47</v>
      </c>
      <c r="D151" t="s">
        <v>785</v>
      </c>
      <c r="E151" t="s">
        <v>263</v>
      </c>
      <c r="F151">
        <v>2021</v>
      </c>
      <c r="G151" t="s">
        <v>151</v>
      </c>
      <c r="H151" t="s">
        <v>285</v>
      </c>
      <c r="I151">
        <v>10.7</v>
      </c>
      <c r="J151" t="s">
        <v>81</v>
      </c>
      <c r="K151" t="s">
        <v>50</v>
      </c>
      <c r="L151" t="s">
        <v>37</v>
      </c>
      <c r="M151" t="s">
        <v>67</v>
      </c>
      <c r="N151" t="s">
        <v>314</v>
      </c>
      <c r="O151" t="s">
        <v>154</v>
      </c>
      <c r="P151" s="3">
        <v>128.86000000000001</v>
      </c>
      <c r="Q151" s="3">
        <v>73.42</v>
      </c>
      <c r="R151" s="4">
        <f t="shared" si="4"/>
        <v>0.43023436287443745</v>
      </c>
      <c r="S151">
        <v>1000</v>
      </c>
      <c r="T151">
        <v>36</v>
      </c>
      <c r="U151" s="3">
        <f t="shared" si="5"/>
        <v>128860.00000000001</v>
      </c>
      <c r="V151" t="s">
        <v>41</v>
      </c>
      <c r="W151" t="s">
        <v>70</v>
      </c>
      <c r="X151">
        <v>4.9000000000000004</v>
      </c>
      <c r="Y151" t="s">
        <v>43</v>
      </c>
      <c r="Z151">
        <v>750</v>
      </c>
      <c r="AA151" t="s">
        <v>61</v>
      </c>
      <c r="AB151">
        <v>8</v>
      </c>
      <c r="AC151">
        <v>2025</v>
      </c>
      <c r="AD151">
        <v>2033</v>
      </c>
    </row>
    <row r="152" spans="1:30">
      <c r="A152" t="s">
        <v>527</v>
      </c>
      <c r="B152" t="s">
        <v>528</v>
      </c>
      <c r="C152" t="s">
        <v>74</v>
      </c>
      <c r="D152" t="s">
        <v>785</v>
      </c>
      <c r="E152" t="s">
        <v>160</v>
      </c>
      <c r="F152">
        <v>2017</v>
      </c>
      <c r="G152" t="s">
        <v>34</v>
      </c>
      <c r="H152" t="s">
        <v>35</v>
      </c>
      <c r="I152">
        <v>14.6</v>
      </c>
      <c r="J152" t="s">
        <v>36</v>
      </c>
      <c r="K152" t="s">
        <v>59</v>
      </c>
      <c r="L152" t="s">
        <v>37</v>
      </c>
      <c r="M152" t="s">
        <v>38</v>
      </c>
      <c r="N152" t="s">
        <v>529</v>
      </c>
      <c r="O152" t="s">
        <v>52</v>
      </c>
      <c r="P152" s="3">
        <v>227.92</v>
      </c>
      <c r="Q152" s="3">
        <v>88.47</v>
      </c>
      <c r="R152" s="4">
        <f t="shared" si="4"/>
        <v>0.61183748683748684</v>
      </c>
      <c r="S152">
        <v>3</v>
      </c>
      <c r="T152">
        <v>12</v>
      </c>
      <c r="U152" s="3">
        <f t="shared" si="5"/>
        <v>683.76</v>
      </c>
      <c r="V152" t="s">
        <v>77</v>
      </c>
      <c r="W152" t="s">
        <v>107</v>
      </c>
      <c r="X152">
        <v>3.7</v>
      </c>
      <c r="Y152" t="s">
        <v>71</v>
      </c>
      <c r="Z152">
        <v>375</v>
      </c>
      <c r="AA152" t="s">
        <v>61</v>
      </c>
      <c r="AB152">
        <v>12</v>
      </c>
      <c r="AC152">
        <v>2021</v>
      </c>
      <c r="AD152">
        <v>2034</v>
      </c>
    </row>
    <row r="153" spans="1:30">
      <c r="A153" t="s">
        <v>530</v>
      </c>
      <c r="B153" t="s">
        <v>531</v>
      </c>
      <c r="C153" t="s">
        <v>32</v>
      </c>
      <c r="D153" t="s">
        <v>795</v>
      </c>
      <c r="E153" t="s">
        <v>307</v>
      </c>
      <c r="F153">
        <v>2013</v>
      </c>
      <c r="G153" t="s">
        <v>88</v>
      </c>
      <c r="H153" t="s">
        <v>161</v>
      </c>
      <c r="I153">
        <v>11.4</v>
      </c>
      <c r="J153" t="s">
        <v>81</v>
      </c>
      <c r="K153" t="s">
        <v>59</v>
      </c>
      <c r="L153" t="s">
        <v>37</v>
      </c>
      <c r="M153" t="s">
        <v>59</v>
      </c>
      <c r="N153" t="s">
        <v>532</v>
      </c>
      <c r="O153" t="s">
        <v>91</v>
      </c>
      <c r="P153" s="3">
        <v>190.44</v>
      </c>
      <c r="Q153" s="3">
        <v>79.12</v>
      </c>
      <c r="R153" s="4">
        <f t="shared" si="4"/>
        <v>0.5845410628019323</v>
      </c>
      <c r="S153">
        <v>350</v>
      </c>
      <c r="T153">
        <v>50</v>
      </c>
      <c r="U153" s="3">
        <f t="shared" si="5"/>
        <v>66654</v>
      </c>
      <c r="V153" t="s">
        <v>41</v>
      </c>
      <c r="W153" t="s">
        <v>42</v>
      </c>
      <c r="X153">
        <v>3.3</v>
      </c>
      <c r="Y153" t="s">
        <v>71</v>
      </c>
      <c r="Z153">
        <v>750</v>
      </c>
      <c r="AA153" t="s">
        <v>44</v>
      </c>
      <c r="AB153">
        <v>8</v>
      </c>
      <c r="AC153">
        <v>2027</v>
      </c>
      <c r="AD153">
        <v>2034</v>
      </c>
    </row>
    <row r="154" spans="1:30">
      <c r="A154" t="s">
        <v>533</v>
      </c>
      <c r="B154" t="s">
        <v>534</v>
      </c>
      <c r="C154" t="s">
        <v>56</v>
      </c>
      <c r="D154" t="s">
        <v>791</v>
      </c>
      <c r="E154" t="s">
        <v>185</v>
      </c>
      <c r="F154">
        <v>2015</v>
      </c>
      <c r="G154" t="s">
        <v>88</v>
      </c>
      <c r="H154" t="s">
        <v>152</v>
      </c>
      <c r="I154">
        <v>8.1</v>
      </c>
      <c r="J154" t="s">
        <v>36</v>
      </c>
      <c r="K154" t="s">
        <v>59</v>
      </c>
      <c r="L154" t="s">
        <v>37</v>
      </c>
      <c r="M154" t="s">
        <v>59</v>
      </c>
      <c r="N154" t="s">
        <v>381</v>
      </c>
      <c r="O154" t="s">
        <v>91</v>
      </c>
      <c r="P154" s="3">
        <v>290.08</v>
      </c>
      <c r="Q154" s="3">
        <v>159.38999999999999</v>
      </c>
      <c r="R154" s="4">
        <f t="shared" si="4"/>
        <v>0.45053088803088803</v>
      </c>
      <c r="S154">
        <v>1000</v>
      </c>
      <c r="T154">
        <v>6</v>
      </c>
      <c r="U154" s="3">
        <f t="shared" si="5"/>
        <v>290080</v>
      </c>
      <c r="V154" t="s">
        <v>41</v>
      </c>
      <c r="W154" t="s">
        <v>70</v>
      </c>
      <c r="X154">
        <v>3.6</v>
      </c>
      <c r="Y154" t="s">
        <v>43</v>
      </c>
      <c r="Z154">
        <v>750</v>
      </c>
      <c r="AA154" t="s">
        <v>85</v>
      </c>
      <c r="AB154">
        <v>16</v>
      </c>
      <c r="AC154">
        <v>2023</v>
      </c>
      <c r="AD154">
        <v>2029</v>
      </c>
    </row>
    <row r="155" spans="1:30">
      <c r="A155" t="s">
        <v>535</v>
      </c>
      <c r="B155" t="s">
        <v>536</v>
      </c>
      <c r="C155" t="s">
        <v>121</v>
      </c>
      <c r="D155" t="s">
        <v>766</v>
      </c>
      <c r="E155" t="s">
        <v>274</v>
      </c>
      <c r="F155">
        <v>1999</v>
      </c>
      <c r="G155" t="s">
        <v>65</v>
      </c>
      <c r="H155" t="s">
        <v>80</v>
      </c>
      <c r="I155">
        <v>12.9</v>
      </c>
      <c r="J155" t="s">
        <v>36</v>
      </c>
      <c r="K155" t="s">
        <v>59</v>
      </c>
      <c r="L155" t="s">
        <v>37</v>
      </c>
      <c r="M155" t="s">
        <v>67</v>
      </c>
      <c r="N155" t="s">
        <v>537</v>
      </c>
      <c r="O155" t="s">
        <v>69</v>
      </c>
      <c r="P155" s="3">
        <v>282.33</v>
      </c>
      <c r="Q155" s="3">
        <v>202.62</v>
      </c>
      <c r="R155" s="4">
        <f t="shared" si="4"/>
        <v>0.28232918924662626</v>
      </c>
      <c r="S155">
        <v>96</v>
      </c>
      <c r="T155">
        <v>50</v>
      </c>
      <c r="U155" s="3">
        <f t="shared" si="5"/>
        <v>27103.68</v>
      </c>
      <c r="V155" t="s">
        <v>77</v>
      </c>
      <c r="W155" t="s">
        <v>53</v>
      </c>
      <c r="X155">
        <v>3.6</v>
      </c>
      <c r="Y155" t="s">
        <v>71</v>
      </c>
      <c r="Z155">
        <v>750</v>
      </c>
      <c r="AA155" t="s">
        <v>44</v>
      </c>
      <c r="AB155">
        <v>8</v>
      </c>
      <c r="AC155">
        <v>2022</v>
      </c>
      <c r="AD155">
        <v>2033</v>
      </c>
    </row>
    <row r="156" spans="1:30">
      <c r="A156" t="s">
        <v>538</v>
      </c>
      <c r="B156" t="s">
        <v>539</v>
      </c>
      <c r="C156" t="s">
        <v>47</v>
      </c>
      <c r="D156" t="s">
        <v>765</v>
      </c>
      <c r="E156" t="s">
        <v>307</v>
      </c>
      <c r="F156">
        <v>2014</v>
      </c>
      <c r="G156" t="s">
        <v>65</v>
      </c>
      <c r="H156" t="s">
        <v>80</v>
      </c>
      <c r="I156">
        <v>10.1</v>
      </c>
      <c r="J156" t="s">
        <v>36</v>
      </c>
      <c r="K156" t="s">
        <v>50</v>
      </c>
      <c r="L156" t="s">
        <v>37</v>
      </c>
      <c r="M156" t="s">
        <v>67</v>
      </c>
      <c r="N156" t="s">
        <v>330</v>
      </c>
      <c r="O156" t="s">
        <v>83</v>
      </c>
      <c r="P156" s="3">
        <v>67.06</v>
      </c>
      <c r="Q156" s="3">
        <v>42.37</v>
      </c>
      <c r="R156" s="4">
        <f t="shared" si="4"/>
        <v>0.36817775126752167</v>
      </c>
      <c r="S156">
        <v>2</v>
      </c>
      <c r="T156">
        <v>50</v>
      </c>
      <c r="U156" s="3">
        <f t="shared" si="5"/>
        <v>134.12</v>
      </c>
      <c r="V156" t="s">
        <v>41</v>
      </c>
      <c r="W156" t="s">
        <v>107</v>
      </c>
      <c r="X156">
        <v>4.7</v>
      </c>
      <c r="Y156" t="s">
        <v>71</v>
      </c>
      <c r="Z156">
        <v>750</v>
      </c>
      <c r="AA156" t="s">
        <v>85</v>
      </c>
      <c r="AB156">
        <v>18</v>
      </c>
      <c r="AC156">
        <v>2026</v>
      </c>
      <c r="AD156">
        <v>2032</v>
      </c>
    </row>
    <row r="157" spans="1:30">
      <c r="A157" t="s">
        <v>540</v>
      </c>
      <c r="B157" t="s">
        <v>541</v>
      </c>
      <c r="C157" t="s">
        <v>141</v>
      </c>
      <c r="D157" t="s">
        <v>756</v>
      </c>
      <c r="E157" t="s">
        <v>116</v>
      </c>
      <c r="F157">
        <v>2013</v>
      </c>
      <c r="G157" t="s">
        <v>88</v>
      </c>
      <c r="H157" t="s">
        <v>152</v>
      </c>
      <c r="I157">
        <v>8.5</v>
      </c>
      <c r="J157" t="s">
        <v>36</v>
      </c>
      <c r="K157" t="s">
        <v>59</v>
      </c>
      <c r="L157" t="s">
        <v>37</v>
      </c>
      <c r="M157" t="s">
        <v>59</v>
      </c>
      <c r="N157" t="s">
        <v>542</v>
      </c>
      <c r="O157" t="s">
        <v>201</v>
      </c>
      <c r="P157" s="3">
        <v>476.2</v>
      </c>
      <c r="Q157" s="3">
        <v>335.72</v>
      </c>
      <c r="R157" s="4">
        <f t="shared" si="4"/>
        <v>0.29500209995800075</v>
      </c>
      <c r="S157">
        <v>0</v>
      </c>
      <c r="T157">
        <v>36</v>
      </c>
      <c r="U157" s="3">
        <f t="shared" si="5"/>
        <v>0</v>
      </c>
      <c r="V157" t="s">
        <v>84</v>
      </c>
      <c r="W157" t="s">
        <v>102</v>
      </c>
      <c r="X157">
        <v>4.5</v>
      </c>
      <c r="Y157" t="s">
        <v>71</v>
      </c>
      <c r="Z157">
        <v>375</v>
      </c>
      <c r="AA157" t="s">
        <v>85</v>
      </c>
      <c r="AB157">
        <v>8</v>
      </c>
      <c r="AC157">
        <v>2022</v>
      </c>
      <c r="AD157">
        <v>2031</v>
      </c>
    </row>
    <row r="158" spans="1:30">
      <c r="A158" t="s">
        <v>543</v>
      </c>
      <c r="B158" t="s">
        <v>544</v>
      </c>
      <c r="C158" t="s">
        <v>115</v>
      </c>
      <c r="D158" t="s">
        <v>754</v>
      </c>
      <c r="E158" t="s">
        <v>219</v>
      </c>
      <c r="F158">
        <v>2002</v>
      </c>
      <c r="G158" t="s">
        <v>34</v>
      </c>
      <c r="H158" t="s">
        <v>35</v>
      </c>
      <c r="I158">
        <v>15.1</v>
      </c>
      <c r="J158" t="s">
        <v>36</v>
      </c>
      <c r="K158" t="s">
        <v>59</v>
      </c>
      <c r="L158" t="s">
        <v>37</v>
      </c>
      <c r="M158" t="s">
        <v>38</v>
      </c>
      <c r="N158" t="s">
        <v>545</v>
      </c>
      <c r="O158" t="s">
        <v>118</v>
      </c>
      <c r="P158" s="3">
        <v>83.62</v>
      </c>
      <c r="Q158" s="3">
        <v>44.06</v>
      </c>
      <c r="R158" s="4">
        <f t="shared" si="4"/>
        <v>0.47309256158813678</v>
      </c>
      <c r="S158">
        <v>96</v>
      </c>
      <c r="T158">
        <v>50</v>
      </c>
      <c r="U158" s="3">
        <f t="shared" si="5"/>
        <v>8027.52</v>
      </c>
      <c r="V158" t="s">
        <v>41</v>
      </c>
      <c r="W158" t="s">
        <v>70</v>
      </c>
      <c r="X158">
        <v>4.0999999999999996</v>
      </c>
      <c r="Y158" t="s">
        <v>43</v>
      </c>
      <c r="Z158">
        <v>750</v>
      </c>
      <c r="AA158" t="s">
        <v>61</v>
      </c>
      <c r="AB158">
        <v>10</v>
      </c>
      <c r="AC158">
        <v>2028</v>
      </c>
      <c r="AD158">
        <v>2031</v>
      </c>
    </row>
    <row r="159" spans="1:30">
      <c r="A159" t="s">
        <v>546</v>
      </c>
      <c r="B159" t="s">
        <v>547</v>
      </c>
      <c r="C159" t="s">
        <v>121</v>
      </c>
      <c r="D159" t="s">
        <v>772</v>
      </c>
      <c r="E159" t="s">
        <v>317</v>
      </c>
      <c r="F159">
        <v>2000</v>
      </c>
      <c r="G159" t="s">
        <v>88</v>
      </c>
      <c r="H159" t="s">
        <v>135</v>
      </c>
      <c r="I159">
        <v>9.4</v>
      </c>
      <c r="J159" t="s">
        <v>36</v>
      </c>
      <c r="K159" t="s">
        <v>59</v>
      </c>
      <c r="L159" t="s">
        <v>37</v>
      </c>
      <c r="M159" t="s">
        <v>59</v>
      </c>
      <c r="N159" t="s">
        <v>532</v>
      </c>
      <c r="O159" t="s">
        <v>125</v>
      </c>
      <c r="P159" s="3">
        <v>135.72999999999999</v>
      </c>
      <c r="Q159" s="3">
        <v>60.38</v>
      </c>
      <c r="R159" s="4">
        <f t="shared" si="4"/>
        <v>0.55514624622412145</v>
      </c>
      <c r="S159">
        <v>5</v>
      </c>
      <c r="T159">
        <v>36</v>
      </c>
      <c r="U159" s="3">
        <f t="shared" si="5"/>
        <v>678.65</v>
      </c>
      <c r="V159" t="s">
        <v>41</v>
      </c>
      <c r="W159" t="s">
        <v>53</v>
      </c>
      <c r="X159">
        <v>4</v>
      </c>
      <c r="Y159" t="s">
        <v>43</v>
      </c>
      <c r="Z159">
        <v>750</v>
      </c>
      <c r="AA159" t="s">
        <v>44</v>
      </c>
      <c r="AB159">
        <v>10</v>
      </c>
      <c r="AC159">
        <v>2026</v>
      </c>
      <c r="AD159">
        <v>2031</v>
      </c>
    </row>
    <row r="160" spans="1:30">
      <c r="A160" t="s">
        <v>548</v>
      </c>
      <c r="B160" t="s">
        <v>549</v>
      </c>
      <c r="C160" t="s">
        <v>94</v>
      </c>
      <c r="D160" t="s">
        <v>762</v>
      </c>
      <c r="E160" t="s">
        <v>95</v>
      </c>
      <c r="F160">
        <v>1998</v>
      </c>
      <c r="G160" t="s">
        <v>88</v>
      </c>
      <c r="H160" t="s">
        <v>152</v>
      </c>
      <c r="I160">
        <v>15.2</v>
      </c>
      <c r="J160" t="s">
        <v>36</v>
      </c>
      <c r="K160" t="s">
        <v>50</v>
      </c>
      <c r="L160" t="s">
        <v>37</v>
      </c>
      <c r="M160" t="s">
        <v>59</v>
      </c>
      <c r="N160" t="s">
        <v>550</v>
      </c>
      <c r="O160" t="s">
        <v>201</v>
      </c>
      <c r="P160" s="3">
        <v>1447.14</v>
      </c>
      <c r="Q160" s="3">
        <v>614.98</v>
      </c>
      <c r="R160" s="4">
        <f t="shared" si="4"/>
        <v>0.57503766048896443</v>
      </c>
      <c r="S160">
        <v>12</v>
      </c>
      <c r="T160">
        <v>24</v>
      </c>
      <c r="U160" s="3">
        <f t="shared" si="5"/>
        <v>17365.68</v>
      </c>
      <c r="V160" t="s">
        <v>41</v>
      </c>
      <c r="W160" t="s">
        <v>70</v>
      </c>
      <c r="X160">
        <v>3.9</v>
      </c>
      <c r="Y160" t="s">
        <v>43</v>
      </c>
      <c r="Z160">
        <v>750</v>
      </c>
      <c r="AA160" t="s">
        <v>85</v>
      </c>
      <c r="AB160">
        <v>10</v>
      </c>
      <c r="AC160">
        <v>2026</v>
      </c>
      <c r="AD160">
        <v>2032</v>
      </c>
    </row>
    <row r="161" spans="1:30">
      <c r="A161" t="s">
        <v>551</v>
      </c>
      <c r="B161" t="s">
        <v>552</v>
      </c>
      <c r="C161" t="s">
        <v>141</v>
      </c>
      <c r="D161" t="s">
        <v>779</v>
      </c>
      <c r="E161" t="s">
        <v>215</v>
      </c>
      <c r="F161">
        <v>2015</v>
      </c>
      <c r="G161" t="s">
        <v>88</v>
      </c>
      <c r="H161" t="s">
        <v>135</v>
      </c>
      <c r="I161">
        <v>7.6</v>
      </c>
      <c r="J161" t="s">
        <v>36</v>
      </c>
      <c r="K161" t="s">
        <v>50</v>
      </c>
      <c r="L161" t="s">
        <v>37</v>
      </c>
      <c r="M161" t="s">
        <v>59</v>
      </c>
      <c r="N161" t="s">
        <v>553</v>
      </c>
      <c r="O161" t="s">
        <v>201</v>
      </c>
      <c r="P161" s="3">
        <v>111.03</v>
      </c>
      <c r="Q161" s="3">
        <v>47.76</v>
      </c>
      <c r="R161" s="4">
        <f t="shared" si="4"/>
        <v>0.56984598757092675</v>
      </c>
      <c r="S161">
        <v>1000</v>
      </c>
      <c r="T161">
        <v>24</v>
      </c>
      <c r="U161" s="3">
        <f t="shared" si="5"/>
        <v>111030</v>
      </c>
      <c r="V161" t="s">
        <v>77</v>
      </c>
      <c r="W161" t="s">
        <v>107</v>
      </c>
      <c r="X161">
        <v>3.7</v>
      </c>
      <c r="Y161" t="s">
        <v>71</v>
      </c>
      <c r="Z161">
        <v>750</v>
      </c>
      <c r="AA161" t="s">
        <v>61</v>
      </c>
      <c r="AB161">
        <v>14</v>
      </c>
      <c r="AC161">
        <v>2028</v>
      </c>
      <c r="AD161">
        <v>2032</v>
      </c>
    </row>
    <row r="162" spans="1:30">
      <c r="A162" t="s">
        <v>554</v>
      </c>
      <c r="B162" t="s">
        <v>555</v>
      </c>
      <c r="C162" t="s">
        <v>32</v>
      </c>
      <c r="D162" t="s">
        <v>779</v>
      </c>
      <c r="E162" t="s">
        <v>105</v>
      </c>
      <c r="F162">
        <v>1999</v>
      </c>
      <c r="G162" t="s">
        <v>34</v>
      </c>
      <c r="H162" t="s">
        <v>111</v>
      </c>
      <c r="I162">
        <v>11.6</v>
      </c>
      <c r="J162" t="s">
        <v>36</v>
      </c>
      <c r="K162" t="s">
        <v>50</v>
      </c>
      <c r="L162" t="s">
        <v>37</v>
      </c>
      <c r="M162" t="s">
        <v>38</v>
      </c>
      <c r="N162" t="s">
        <v>341</v>
      </c>
      <c r="O162" t="s">
        <v>52</v>
      </c>
      <c r="P162" s="3">
        <v>342.25</v>
      </c>
      <c r="Q162" s="3">
        <v>169.03</v>
      </c>
      <c r="R162" s="4">
        <f t="shared" si="4"/>
        <v>0.50612125639152661</v>
      </c>
      <c r="S162">
        <v>600</v>
      </c>
      <c r="T162">
        <v>24</v>
      </c>
      <c r="U162" s="3">
        <f t="shared" si="5"/>
        <v>205350</v>
      </c>
      <c r="V162" t="s">
        <v>41</v>
      </c>
      <c r="W162" t="s">
        <v>102</v>
      </c>
      <c r="X162">
        <v>5</v>
      </c>
      <c r="Y162" t="s">
        <v>43</v>
      </c>
      <c r="Z162">
        <v>750</v>
      </c>
      <c r="AA162" t="s">
        <v>44</v>
      </c>
      <c r="AB162">
        <v>10</v>
      </c>
      <c r="AC162">
        <v>2027</v>
      </c>
      <c r="AD162">
        <v>2039</v>
      </c>
    </row>
    <row r="163" spans="1:30">
      <c r="A163" t="s">
        <v>556</v>
      </c>
      <c r="B163" t="s">
        <v>557</v>
      </c>
      <c r="C163" t="s">
        <v>141</v>
      </c>
      <c r="D163" t="s">
        <v>757</v>
      </c>
      <c r="E163" t="s">
        <v>75</v>
      </c>
      <c r="F163">
        <v>2007</v>
      </c>
      <c r="G163" t="s">
        <v>65</v>
      </c>
      <c r="H163" t="s">
        <v>211</v>
      </c>
      <c r="I163">
        <v>12.1</v>
      </c>
      <c r="J163" t="s">
        <v>36</v>
      </c>
      <c r="K163" t="s">
        <v>50</v>
      </c>
      <c r="L163" t="s">
        <v>37</v>
      </c>
      <c r="M163" t="s">
        <v>67</v>
      </c>
      <c r="N163" t="s">
        <v>68</v>
      </c>
      <c r="O163" t="s">
        <v>69</v>
      </c>
      <c r="P163" s="3">
        <v>1034.72</v>
      </c>
      <c r="Q163" s="3">
        <v>491.59</v>
      </c>
      <c r="R163" s="4">
        <f t="shared" si="4"/>
        <v>0.52490528838719663</v>
      </c>
      <c r="S163">
        <v>200</v>
      </c>
      <c r="T163">
        <v>6</v>
      </c>
      <c r="U163" s="3">
        <f t="shared" si="5"/>
        <v>206944</v>
      </c>
      <c r="V163" t="s">
        <v>77</v>
      </c>
      <c r="W163" t="s">
        <v>53</v>
      </c>
      <c r="X163">
        <v>4.8</v>
      </c>
      <c r="Y163" t="s">
        <v>43</v>
      </c>
      <c r="Z163">
        <v>750</v>
      </c>
      <c r="AA163" t="s">
        <v>61</v>
      </c>
      <c r="AB163">
        <v>18</v>
      </c>
      <c r="AC163">
        <v>2022</v>
      </c>
      <c r="AD163">
        <v>2030</v>
      </c>
    </row>
    <row r="164" spans="1:30">
      <c r="A164" t="s">
        <v>558</v>
      </c>
      <c r="B164" t="s">
        <v>559</v>
      </c>
      <c r="C164" t="s">
        <v>56</v>
      </c>
      <c r="D164" t="s">
        <v>782</v>
      </c>
      <c r="E164" t="s">
        <v>274</v>
      </c>
      <c r="F164">
        <v>2022</v>
      </c>
      <c r="G164" t="s">
        <v>88</v>
      </c>
      <c r="H164" t="s">
        <v>193</v>
      </c>
      <c r="I164">
        <v>15.3</v>
      </c>
      <c r="J164" t="s">
        <v>36</v>
      </c>
      <c r="K164" t="s">
        <v>59</v>
      </c>
      <c r="L164" t="s">
        <v>37</v>
      </c>
      <c r="M164" t="s">
        <v>59</v>
      </c>
      <c r="N164" t="s">
        <v>560</v>
      </c>
      <c r="O164" t="s">
        <v>195</v>
      </c>
      <c r="P164" s="3">
        <v>282.70999999999998</v>
      </c>
      <c r="Q164" s="3">
        <v>165.73</v>
      </c>
      <c r="R164" s="4">
        <f t="shared" si="4"/>
        <v>0.41378090622899788</v>
      </c>
      <c r="S164">
        <v>48</v>
      </c>
      <c r="T164">
        <v>50</v>
      </c>
      <c r="U164" s="3">
        <f t="shared" si="5"/>
        <v>13570.079999999998</v>
      </c>
      <c r="V164" t="s">
        <v>77</v>
      </c>
      <c r="W164" t="s">
        <v>42</v>
      </c>
      <c r="X164">
        <v>4.8</v>
      </c>
      <c r="Y164" t="s">
        <v>43</v>
      </c>
      <c r="Z164">
        <v>750</v>
      </c>
      <c r="AA164" t="s">
        <v>61</v>
      </c>
      <c r="AB164">
        <v>18</v>
      </c>
      <c r="AC164">
        <v>2023</v>
      </c>
      <c r="AD164">
        <v>2026</v>
      </c>
    </row>
    <row r="165" spans="1:30">
      <c r="A165" t="s">
        <v>561</v>
      </c>
      <c r="B165" t="s">
        <v>562</v>
      </c>
      <c r="C165" t="s">
        <v>56</v>
      </c>
      <c r="D165" t="s">
        <v>781</v>
      </c>
      <c r="E165" t="s">
        <v>95</v>
      </c>
      <c r="F165">
        <v>2011</v>
      </c>
      <c r="G165" t="s">
        <v>65</v>
      </c>
      <c r="H165" t="s">
        <v>66</v>
      </c>
      <c r="I165">
        <v>14</v>
      </c>
      <c r="J165" t="s">
        <v>81</v>
      </c>
      <c r="K165" t="s">
        <v>50</v>
      </c>
      <c r="L165" t="s">
        <v>37</v>
      </c>
      <c r="M165" t="s">
        <v>67</v>
      </c>
      <c r="N165" t="s">
        <v>563</v>
      </c>
      <c r="O165" t="s">
        <v>230</v>
      </c>
      <c r="P165" s="3">
        <v>56.06</v>
      </c>
      <c r="Q165" s="3">
        <v>40.28</v>
      </c>
      <c r="R165" s="4">
        <f t="shared" si="4"/>
        <v>0.28148412415269353</v>
      </c>
      <c r="S165">
        <v>96</v>
      </c>
      <c r="T165">
        <v>12</v>
      </c>
      <c r="U165" s="3">
        <f t="shared" si="5"/>
        <v>5381.76</v>
      </c>
      <c r="V165" t="s">
        <v>41</v>
      </c>
      <c r="W165" t="s">
        <v>107</v>
      </c>
      <c r="X165">
        <v>4.0999999999999996</v>
      </c>
      <c r="Y165" t="s">
        <v>71</v>
      </c>
      <c r="Z165">
        <v>750</v>
      </c>
      <c r="AA165" t="s">
        <v>44</v>
      </c>
      <c r="AB165">
        <v>12</v>
      </c>
      <c r="AC165">
        <v>2024</v>
      </c>
      <c r="AD165">
        <v>2032</v>
      </c>
    </row>
    <row r="166" spans="1:30">
      <c r="A166" t="s">
        <v>564</v>
      </c>
      <c r="B166" t="s">
        <v>565</v>
      </c>
      <c r="C166" t="s">
        <v>282</v>
      </c>
      <c r="D166" t="s">
        <v>781</v>
      </c>
      <c r="E166" t="s">
        <v>169</v>
      </c>
      <c r="F166">
        <v>2004</v>
      </c>
      <c r="G166" t="s">
        <v>88</v>
      </c>
      <c r="H166" t="s">
        <v>135</v>
      </c>
      <c r="I166">
        <v>14.2</v>
      </c>
      <c r="J166" t="s">
        <v>81</v>
      </c>
      <c r="K166" t="s">
        <v>37</v>
      </c>
      <c r="L166" t="s">
        <v>37</v>
      </c>
      <c r="M166" t="s">
        <v>59</v>
      </c>
      <c r="N166" t="s">
        <v>566</v>
      </c>
      <c r="O166" t="s">
        <v>125</v>
      </c>
      <c r="P166" s="3">
        <v>40.49</v>
      </c>
      <c r="Q166" s="3">
        <v>20.41</v>
      </c>
      <c r="R166" s="4">
        <f t="shared" si="4"/>
        <v>0.49592491973326752</v>
      </c>
      <c r="S166">
        <v>48</v>
      </c>
      <c r="T166">
        <v>6</v>
      </c>
      <c r="U166" s="3">
        <f t="shared" si="5"/>
        <v>1943.52</v>
      </c>
      <c r="V166" t="s">
        <v>41</v>
      </c>
      <c r="W166" t="s">
        <v>102</v>
      </c>
      <c r="X166">
        <v>3.9</v>
      </c>
      <c r="Y166" t="s">
        <v>43</v>
      </c>
      <c r="Z166">
        <v>750</v>
      </c>
      <c r="AA166" t="s">
        <v>85</v>
      </c>
      <c r="AB166">
        <v>14</v>
      </c>
      <c r="AC166">
        <v>2027</v>
      </c>
      <c r="AD166">
        <v>2032</v>
      </c>
    </row>
    <row r="167" spans="1:30">
      <c r="A167" t="s">
        <v>567</v>
      </c>
      <c r="B167" t="s">
        <v>568</v>
      </c>
      <c r="C167" t="s">
        <v>32</v>
      </c>
      <c r="D167" t="s">
        <v>780</v>
      </c>
      <c r="E167" t="s">
        <v>268</v>
      </c>
      <c r="F167">
        <v>2004</v>
      </c>
      <c r="G167" t="s">
        <v>88</v>
      </c>
      <c r="H167" t="s">
        <v>161</v>
      </c>
      <c r="I167">
        <v>12.4</v>
      </c>
      <c r="J167" t="s">
        <v>36</v>
      </c>
      <c r="K167" t="s">
        <v>59</v>
      </c>
      <c r="L167" t="s">
        <v>37</v>
      </c>
      <c r="M167" t="s">
        <v>59</v>
      </c>
      <c r="N167" t="s">
        <v>194</v>
      </c>
      <c r="O167" t="s">
        <v>195</v>
      </c>
      <c r="P167" s="3">
        <v>73.83</v>
      </c>
      <c r="Q167" s="3">
        <v>38.909999999999997</v>
      </c>
      <c r="R167" s="4">
        <f t="shared" si="4"/>
        <v>0.47297846403900856</v>
      </c>
      <c r="S167">
        <v>120</v>
      </c>
      <c r="T167">
        <v>36</v>
      </c>
      <c r="U167" s="3">
        <f t="shared" si="5"/>
        <v>8859.6</v>
      </c>
      <c r="V167" t="s">
        <v>41</v>
      </c>
      <c r="W167" t="s">
        <v>107</v>
      </c>
      <c r="X167">
        <v>4.0999999999999996</v>
      </c>
      <c r="Y167" t="s">
        <v>43</v>
      </c>
      <c r="Z167">
        <v>750</v>
      </c>
      <c r="AA167" t="s">
        <v>44</v>
      </c>
      <c r="AB167">
        <v>10</v>
      </c>
      <c r="AC167">
        <v>2024</v>
      </c>
      <c r="AD167">
        <v>2039</v>
      </c>
    </row>
    <row r="168" spans="1:30">
      <c r="A168" t="s">
        <v>569</v>
      </c>
      <c r="B168" t="s">
        <v>570</v>
      </c>
      <c r="C168" t="s">
        <v>94</v>
      </c>
      <c r="D168" t="s">
        <v>760</v>
      </c>
      <c r="E168" t="s">
        <v>64</v>
      </c>
      <c r="F168">
        <v>2010</v>
      </c>
      <c r="G168" t="s">
        <v>88</v>
      </c>
      <c r="H168" t="s">
        <v>181</v>
      </c>
      <c r="I168">
        <v>9.6</v>
      </c>
      <c r="J168" t="s">
        <v>36</v>
      </c>
      <c r="K168" t="s">
        <v>37</v>
      </c>
      <c r="L168" t="s">
        <v>37</v>
      </c>
      <c r="M168" t="s">
        <v>59</v>
      </c>
      <c r="N168" t="s">
        <v>571</v>
      </c>
      <c r="O168" t="s">
        <v>91</v>
      </c>
      <c r="P168" s="3">
        <v>257.95</v>
      </c>
      <c r="Q168" s="3">
        <v>142.06</v>
      </c>
      <c r="R168" s="4">
        <f t="shared" si="4"/>
        <v>0.44927311494475669</v>
      </c>
      <c r="S168">
        <v>96</v>
      </c>
      <c r="T168">
        <v>50</v>
      </c>
      <c r="U168" s="3">
        <f t="shared" si="5"/>
        <v>24763.199999999997</v>
      </c>
      <c r="V168" t="s">
        <v>41</v>
      </c>
      <c r="W168" t="s">
        <v>102</v>
      </c>
      <c r="X168">
        <v>3.6</v>
      </c>
      <c r="Y168" t="s">
        <v>71</v>
      </c>
      <c r="Z168">
        <v>750</v>
      </c>
      <c r="AA168" t="s">
        <v>85</v>
      </c>
      <c r="AB168">
        <v>18</v>
      </c>
      <c r="AC168">
        <v>2021</v>
      </c>
      <c r="AD168">
        <v>2034</v>
      </c>
    </row>
    <row r="169" spans="1:30">
      <c r="A169" t="s">
        <v>572</v>
      </c>
      <c r="B169" t="s">
        <v>573</v>
      </c>
      <c r="C169" t="s">
        <v>56</v>
      </c>
      <c r="D169" t="s">
        <v>752</v>
      </c>
      <c r="E169" t="s">
        <v>268</v>
      </c>
      <c r="F169">
        <v>2016</v>
      </c>
      <c r="G169" t="s">
        <v>34</v>
      </c>
      <c r="H169" t="s">
        <v>111</v>
      </c>
      <c r="I169">
        <v>8.9</v>
      </c>
      <c r="J169" t="s">
        <v>36</v>
      </c>
      <c r="K169" t="s">
        <v>59</v>
      </c>
      <c r="L169" t="s">
        <v>59</v>
      </c>
      <c r="M169" t="s">
        <v>38</v>
      </c>
      <c r="N169" t="s">
        <v>474</v>
      </c>
      <c r="O169" t="s">
        <v>52</v>
      </c>
      <c r="P169" s="3">
        <v>180.29</v>
      </c>
      <c r="Q169" s="3">
        <v>81.180000000000007</v>
      </c>
      <c r="R169" s="4">
        <f t="shared" si="4"/>
        <v>0.549725442342892</v>
      </c>
      <c r="S169">
        <v>5</v>
      </c>
      <c r="T169">
        <v>36</v>
      </c>
      <c r="U169" s="3">
        <f t="shared" si="5"/>
        <v>901.44999999999993</v>
      </c>
      <c r="V169" t="s">
        <v>41</v>
      </c>
      <c r="W169" t="s">
        <v>42</v>
      </c>
      <c r="X169">
        <v>4.2</v>
      </c>
      <c r="Y169" t="s">
        <v>71</v>
      </c>
      <c r="Z169">
        <v>750</v>
      </c>
      <c r="AA169" t="s">
        <v>85</v>
      </c>
      <c r="AB169">
        <v>12</v>
      </c>
      <c r="AC169">
        <v>2026</v>
      </c>
      <c r="AD169">
        <v>2037</v>
      </c>
    </row>
    <row r="170" spans="1:30">
      <c r="A170" t="s">
        <v>574</v>
      </c>
      <c r="B170" t="s">
        <v>575</v>
      </c>
      <c r="C170" t="s">
        <v>132</v>
      </c>
      <c r="D170" t="s">
        <v>796</v>
      </c>
      <c r="E170" t="s">
        <v>75</v>
      </c>
      <c r="F170">
        <v>2006</v>
      </c>
      <c r="G170" t="s">
        <v>65</v>
      </c>
      <c r="H170" t="s">
        <v>80</v>
      </c>
      <c r="I170">
        <v>11.1</v>
      </c>
      <c r="J170" t="s">
        <v>81</v>
      </c>
      <c r="K170" t="s">
        <v>50</v>
      </c>
      <c r="L170" t="s">
        <v>37</v>
      </c>
      <c r="M170" t="s">
        <v>67</v>
      </c>
      <c r="N170" t="s">
        <v>229</v>
      </c>
      <c r="O170" t="s">
        <v>230</v>
      </c>
      <c r="P170" s="3">
        <v>267.89999999999998</v>
      </c>
      <c r="Q170" s="3">
        <v>144.31</v>
      </c>
      <c r="R170" s="4">
        <f t="shared" si="4"/>
        <v>0.46132885405001861</v>
      </c>
      <c r="S170">
        <v>72</v>
      </c>
      <c r="T170">
        <v>36</v>
      </c>
      <c r="U170" s="3">
        <f t="shared" si="5"/>
        <v>19288.8</v>
      </c>
      <c r="V170" t="s">
        <v>41</v>
      </c>
      <c r="W170" t="s">
        <v>102</v>
      </c>
      <c r="X170">
        <v>3.3</v>
      </c>
      <c r="Y170" t="s">
        <v>71</v>
      </c>
      <c r="Z170">
        <v>1500</v>
      </c>
      <c r="AA170" t="s">
        <v>44</v>
      </c>
      <c r="AB170">
        <v>8</v>
      </c>
      <c r="AC170">
        <v>2025</v>
      </c>
      <c r="AD170">
        <v>2035</v>
      </c>
    </row>
    <row r="171" spans="1:30">
      <c r="A171" t="s">
        <v>576</v>
      </c>
      <c r="B171" t="s">
        <v>577</v>
      </c>
      <c r="C171" t="s">
        <v>148</v>
      </c>
      <c r="D171" t="s">
        <v>763</v>
      </c>
      <c r="E171" t="s">
        <v>228</v>
      </c>
      <c r="F171">
        <v>2006</v>
      </c>
      <c r="G171" t="s">
        <v>88</v>
      </c>
      <c r="H171" t="s">
        <v>193</v>
      </c>
      <c r="I171">
        <v>14.1</v>
      </c>
      <c r="J171" t="s">
        <v>36</v>
      </c>
      <c r="K171" t="s">
        <v>37</v>
      </c>
      <c r="L171" t="s">
        <v>37</v>
      </c>
      <c r="M171" t="s">
        <v>59</v>
      </c>
      <c r="N171" t="s">
        <v>492</v>
      </c>
      <c r="O171" t="s">
        <v>195</v>
      </c>
      <c r="P171" s="3">
        <v>213.94</v>
      </c>
      <c r="Q171" s="3">
        <v>123.03</v>
      </c>
      <c r="R171" s="4">
        <f t="shared" si="4"/>
        <v>0.42493222398803404</v>
      </c>
      <c r="S171">
        <v>12</v>
      </c>
      <c r="T171">
        <v>6</v>
      </c>
      <c r="U171" s="3">
        <f t="shared" si="5"/>
        <v>2567.2799999999997</v>
      </c>
      <c r="V171" t="s">
        <v>77</v>
      </c>
      <c r="W171" t="s">
        <v>53</v>
      </c>
      <c r="X171">
        <v>4.8</v>
      </c>
      <c r="Y171" t="s">
        <v>43</v>
      </c>
      <c r="Z171">
        <v>750</v>
      </c>
      <c r="AA171" t="s">
        <v>85</v>
      </c>
      <c r="AB171">
        <v>14</v>
      </c>
      <c r="AC171">
        <v>2028</v>
      </c>
      <c r="AD171">
        <v>2043</v>
      </c>
    </row>
    <row r="172" spans="1:30">
      <c r="A172" t="s">
        <v>578</v>
      </c>
      <c r="B172" t="s">
        <v>579</v>
      </c>
      <c r="C172" t="s">
        <v>47</v>
      </c>
      <c r="D172" t="s">
        <v>758</v>
      </c>
      <c r="E172" t="s">
        <v>204</v>
      </c>
      <c r="F172">
        <v>2003</v>
      </c>
      <c r="G172" t="s">
        <v>34</v>
      </c>
      <c r="H172" t="s">
        <v>211</v>
      </c>
      <c r="I172">
        <v>11.4</v>
      </c>
      <c r="J172" t="s">
        <v>81</v>
      </c>
      <c r="K172" t="s">
        <v>50</v>
      </c>
      <c r="L172" t="s">
        <v>50</v>
      </c>
      <c r="M172" t="s">
        <v>38</v>
      </c>
      <c r="N172" t="s">
        <v>250</v>
      </c>
      <c r="O172" t="s">
        <v>52</v>
      </c>
      <c r="P172" s="3">
        <v>148.91</v>
      </c>
      <c r="Q172" s="3">
        <v>64.069999999999993</v>
      </c>
      <c r="R172" s="4">
        <f t="shared" si="4"/>
        <v>0.56974011147673098</v>
      </c>
      <c r="S172">
        <v>1000</v>
      </c>
      <c r="T172">
        <v>24</v>
      </c>
      <c r="U172" s="3">
        <f t="shared" si="5"/>
        <v>148910</v>
      </c>
      <c r="V172" t="s">
        <v>77</v>
      </c>
      <c r="W172" t="s">
        <v>102</v>
      </c>
      <c r="X172">
        <v>4.9000000000000004</v>
      </c>
      <c r="Y172" t="s">
        <v>71</v>
      </c>
      <c r="Z172">
        <v>750</v>
      </c>
      <c r="AA172" t="s">
        <v>85</v>
      </c>
      <c r="AB172">
        <v>16</v>
      </c>
      <c r="AC172">
        <v>2026</v>
      </c>
      <c r="AD172">
        <v>2034</v>
      </c>
    </row>
    <row r="173" spans="1:30">
      <c r="A173" t="s">
        <v>580</v>
      </c>
      <c r="B173" t="s">
        <v>581</v>
      </c>
      <c r="C173" t="s">
        <v>115</v>
      </c>
      <c r="D173" t="s">
        <v>767</v>
      </c>
      <c r="E173" t="s">
        <v>237</v>
      </c>
      <c r="F173">
        <v>2021</v>
      </c>
      <c r="G173" t="s">
        <v>34</v>
      </c>
      <c r="H173" t="s">
        <v>211</v>
      </c>
      <c r="I173">
        <v>15.2</v>
      </c>
      <c r="J173" t="s">
        <v>36</v>
      </c>
      <c r="K173" t="s">
        <v>37</v>
      </c>
      <c r="L173" t="s">
        <v>59</v>
      </c>
      <c r="M173" t="s">
        <v>38</v>
      </c>
      <c r="N173" t="s">
        <v>429</v>
      </c>
      <c r="O173" t="s">
        <v>40</v>
      </c>
      <c r="P173" s="3">
        <v>105.8</v>
      </c>
      <c r="Q173" s="3">
        <v>68.27</v>
      </c>
      <c r="R173" s="4">
        <f t="shared" si="4"/>
        <v>0.35472589792060494</v>
      </c>
      <c r="S173">
        <v>600</v>
      </c>
      <c r="T173">
        <v>50</v>
      </c>
      <c r="U173" s="3">
        <f t="shared" si="5"/>
        <v>63480</v>
      </c>
      <c r="V173" t="s">
        <v>41</v>
      </c>
      <c r="W173" t="s">
        <v>102</v>
      </c>
      <c r="X173">
        <v>4.5</v>
      </c>
      <c r="Y173" t="s">
        <v>43</v>
      </c>
      <c r="Z173">
        <v>1500</v>
      </c>
      <c r="AA173" t="s">
        <v>61</v>
      </c>
      <c r="AB173">
        <v>10</v>
      </c>
      <c r="AC173">
        <v>2021</v>
      </c>
      <c r="AD173">
        <v>2029</v>
      </c>
    </row>
    <row r="174" spans="1:30">
      <c r="A174" t="s">
        <v>582</v>
      </c>
      <c r="B174" t="s">
        <v>583</v>
      </c>
      <c r="C174" t="s">
        <v>282</v>
      </c>
      <c r="D174" t="s">
        <v>755</v>
      </c>
      <c r="E174" t="s">
        <v>313</v>
      </c>
      <c r="F174">
        <v>2014</v>
      </c>
      <c r="G174" t="s">
        <v>34</v>
      </c>
      <c r="H174" t="s">
        <v>242</v>
      </c>
      <c r="I174">
        <v>7.6</v>
      </c>
      <c r="J174" t="s">
        <v>36</v>
      </c>
      <c r="K174" t="s">
        <v>50</v>
      </c>
      <c r="L174" t="s">
        <v>59</v>
      </c>
      <c r="M174" t="s">
        <v>38</v>
      </c>
      <c r="N174" t="s">
        <v>106</v>
      </c>
      <c r="O174" t="s">
        <v>98</v>
      </c>
      <c r="P174" s="3">
        <v>173.95</v>
      </c>
      <c r="Q174" s="3">
        <v>116.22</v>
      </c>
      <c r="R174" s="4">
        <f t="shared" si="4"/>
        <v>0.33187697614256967</v>
      </c>
      <c r="S174">
        <v>120</v>
      </c>
      <c r="T174">
        <v>36</v>
      </c>
      <c r="U174" s="3">
        <f t="shared" si="5"/>
        <v>20874</v>
      </c>
      <c r="V174" t="s">
        <v>41</v>
      </c>
      <c r="W174" t="s">
        <v>107</v>
      </c>
      <c r="X174">
        <v>4.2</v>
      </c>
      <c r="Y174" t="s">
        <v>43</v>
      </c>
      <c r="Z174">
        <v>750</v>
      </c>
      <c r="AA174" t="s">
        <v>61</v>
      </c>
      <c r="AB174">
        <v>10</v>
      </c>
      <c r="AC174">
        <v>2027</v>
      </c>
      <c r="AD174">
        <v>2034</v>
      </c>
    </row>
    <row r="175" spans="1:30">
      <c r="A175" t="s">
        <v>584</v>
      </c>
      <c r="B175" t="s">
        <v>585</v>
      </c>
      <c r="C175" t="s">
        <v>141</v>
      </c>
      <c r="D175" t="s">
        <v>775</v>
      </c>
      <c r="E175" t="s">
        <v>128</v>
      </c>
      <c r="F175">
        <v>2000</v>
      </c>
      <c r="G175" t="s">
        <v>88</v>
      </c>
      <c r="H175" t="s">
        <v>89</v>
      </c>
      <c r="I175">
        <v>11.3</v>
      </c>
      <c r="J175" t="s">
        <v>36</v>
      </c>
      <c r="K175" t="s">
        <v>37</v>
      </c>
      <c r="L175" t="s">
        <v>37</v>
      </c>
      <c r="M175" t="s">
        <v>59</v>
      </c>
      <c r="N175" t="s">
        <v>553</v>
      </c>
      <c r="O175" t="s">
        <v>125</v>
      </c>
      <c r="P175" s="3">
        <v>278.25</v>
      </c>
      <c r="Q175" s="3">
        <v>146.61000000000001</v>
      </c>
      <c r="R175" s="4">
        <f t="shared" si="4"/>
        <v>0.47309973045822096</v>
      </c>
      <c r="S175">
        <v>96</v>
      </c>
      <c r="T175">
        <v>24</v>
      </c>
      <c r="U175" s="3">
        <f t="shared" si="5"/>
        <v>26712</v>
      </c>
      <c r="V175" t="s">
        <v>77</v>
      </c>
      <c r="W175" t="s">
        <v>107</v>
      </c>
      <c r="X175">
        <v>3.9</v>
      </c>
      <c r="Y175" t="s">
        <v>43</v>
      </c>
      <c r="Z175">
        <v>750</v>
      </c>
      <c r="AA175" t="s">
        <v>85</v>
      </c>
      <c r="AB175">
        <v>14</v>
      </c>
      <c r="AC175">
        <v>2021</v>
      </c>
      <c r="AD175">
        <v>2026</v>
      </c>
    </row>
    <row r="176" spans="1:30">
      <c r="A176" t="s">
        <v>586</v>
      </c>
      <c r="B176" t="s">
        <v>587</v>
      </c>
      <c r="C176" t="s">
        <v>74</v>
      </c>
      <c r="D176" t="s">
        <v>783</v>
      </c>
      <c r="E176" t="s">
        <v>128</v>
      </c>
      <c r="F176">
        <v>2015</v>
      </c>
      <c r="G176" t="s">
        <v>34</v>
      </c>
      <c r="H176" t="s">
        <v>111</v>
      </c>
      <c r="I176">
        <v>11.1</v>
      </c>
      <c r="J176" t="s">
        <v>36</v>
      </c>
      <c r="K176" t="s">
        <v>50</v>
      </c>
      <c r="L176" t="s">
        <v>59</v>
      </c>
      <c r="M176" t="s">
        <v>38</v>
      </c>
      <c r="N176" t="s">
        <v>588</v>
      </c>
      <c r="O176" t="s">
        <v>52</v>
      </c>
      <c r="P176" s="3">
        <v>185.18</v>
      </c>
      <c r="Q176" s="3">
        <v>123.69</v>
      </c>
      <c r="R176" s="4">
        <f t="shared" si="4"/>
        <v>0.33205529754833141</v>
      </c>
      <c r="S176">
        <v>2</v>
      </c>
      <c r="T176">
        <v>36</v>
      </c>
      <c r="U176" s="3">
        <f t="shared" si="5"/>
        <v>370.36</v>
      </c>
      <c r="V176" t="s">
        <v>77</v>
      </c>
      <c r="W176" t="s">
        <v>102</v>
      </c>
      <c r="X176">
        <v>4.9000000000000004</v>
      </c>
      <c r="Y176" t="s">
        <v>71</v>
      </c>
      <c r="Z176">
        <v>375</v>
      </c>
      <c r="AA176" t="s">
        <v>61</v>
      </c>
      <c r="AB176">
        <v>16</v>
      </c>
      <c r="AC176">
        <v>2025</v>
      </c>
      <c r="AD176">
        <v>2032</v>
      </c>
    </row>
    <row r="177" spans="1:30">
      <c r="A177" t="s">
        <v>589</v>
      </c>
      <c r="B177" t="s">
        <v>590</v>
      </c>
      <c r="C177" t="s">
        <v>148</v>
      </c>
      <c r="D177" t="s">
        <v>762</v>
      </c>
      <c r="E177" t="s">
        <v>116</v>
      </c>
      <c r="F177">
        <v>2017</v>
      </c>
      <c r="G177" t="s">
        <v>88</v>
      </c>
      <c r="H177" t="s">
        <v>193</v>
      </c>
      <c r="I177">
        <v>9.3000000000000007</v>
      </c>
      <c r="J177" t="s">
        <v>81</v>
      </c>
      <c r="K177" t="s">
        <v>50</v>
      </c>
      <c r="L177" t="s">
        <v>37</v>
      </c>
      <c r="M177" t="s">
        <v>59</v>
      </c>
      <c r="N177" t="s">
        <v>560</v>
      </c>
      <c r="O177" t="s">
        <v>125</v>
      </c>
      <c r="P177" s="3">
        <v>126.91</v>
      </c>
      <c r="Q177" s="3">
        <v>80.22</v>
      </c>
      <c r="R177" s="4">
        <f t="shared" si="4"/>
        <v>0.36789851075565361</v>
      </c>
      <c r="S177">
        <v>200</v>
      </c>
      <c r="T177">
        <v>6</v>
      </c>
      <c r="U177" s="3">
        <f t="shared" si="5"/>
        <v>25382</v>
      </c>
      <c r="V177" t="s">
        <v>41</v>
      </c>
      <c r="W177" t="s">
        <v>53</v>
      </c>
      <c r="X177">
        <v>4.8</v>
      </c>
      <c r="Y177" t="s">
        <v>43</v>
      </c>
      <c r="Z177">
        <v>375</v>
      </c>
      <c r="AA177" t="s">
        <v>61</v>
      </c>
      <c r="AB177">
        <v>12</v>
      </c>
      <c r="AC177">
        <v>2025</v>
      </c>
      <c r="AD177">
        <v>2031</v>
      </c>
    </row>
    <row r="178" spans="1:30">
      <c r="A178" t="s">
        <v>591</v>
      </c>
      <c r="B178" t="s">
        <v>592</v>
      </c>
      <c r="C178" t="s">
        <v>132</v>
      </c>
      <c r="D178" t="s">
        <v>780</v>
      </c>
      <c r="E178" t="s">
        <v>101</v>
      </c>
      <c r="F178">
        <v>2005</v>
      </c>
      <c r="G178" t="s">
        <v>88</v>
      </c>
      <c r="H178" t="s">
        <v>181</v>
      </c>
      <c r="I178">
        <v>8.1999999999999993</v>
      </c>
      <c r="J178" t="s">
        <v>36</v>
      </c>
      <c r="K178" t="s">
        <v>50</v>
      </c>
      <c r="L178" t="s">
        <v>37</v>
      </c>
      <c r="M178" t="s">
        <v>59</v>
      </c>
      <c r="N178" t="s">
        <v>593</v>
      </c>
      <c r="O178" t="s">
        <v>125</v>
      </c>
      <c r="P178" s="3">
        <v>308.10000000000002</v>
      </c>
      <c r="Q178" s="3">
        <v>159.44</v>
      </c>
      <c r="R178" s="4">
        <f t="shared" si="4"/>
        <v>0.48250567997403443</v>
      </c>
      <c r="S178">
        <v>1</v>
      </c>
      <c r="T178">
        <v>6</v>
      </c>
      <c r="U178" s="3">
        <f t="shared" si="5"/>
        <v>308.10000000000002</v>
      </c>
      <c r="V178" t="s">
        <v>77</v>
      </c>
      <c r="W178" t="s">
        <v>107</v>
      </c>
      <c r="X178">
        <v>4.5999999999999996</v>
      </c>
      <c r="Y178" t="s">
        <v>43</v>
      </c>
      <c r="Z178">
        <v>750</v>
      </c>
      <c r="AA178" t="s">
        <v>44</v>
      </c>
      <c r="AB178">
        <v>18</v>
      </c>
      <c r="AC178">
        <v>2026</v>
      </c>
      <c r="AD178">
        <v>2029</v>
      </c>
    </row>
    <row r="179" spans="1:30">
      <c r="A179" t="s">
        <v>594</v>
      </c>
      <c r="B179" t="s">
        <v>595</v>
      </c>
      <c r="C179" t="s">
        <v>94</v>
      </c>
      <c r="D179" t="s">
        <v>789</v>
      </c>
      <c r="E179" t="s">
        <v>298</v>
      </c>
      <c r="F179">
        <v>2007</v>
      </c>
      <c r="G179" t="s">
        <v>34</v>
      </c>
      <c r="H179" t="s">
        <v>111</v>
      </c>
      <c r="I179">
        <v>7.7</v>
      </c>
      <c r="J179" t="s">
        <v>36</v>
      </c>
      <c r="K179" t="s">
        <v>59</v>
      </c>
      <c r="L179" t="s">
        <v>37</v>
      </c>
      <c r="M179" t="s">
        <v>38</v>
      </c>
      <c r="N179" t="s">
        <v>39</v>
      </c>
      <c r="O179" t="s">
        <v>52</v>
      </c>
      <c r="P179" s="3">
        <v>176.87</v>
      </c>
      <c r="Q179" s="3">
        <v>80.58</v>
      </c>
      <c r="R179" s="4">
        <f t="shared" si="4"/>
        <v>0.54441114943178603</v>
      </c>
      <c r="S179">
        <v>8</v>
      </c>
      <c r="T179">
        <v>12</v>
      </c>
      <c r="U179" s="3">
        <f t="shared" si="5"/>
        <v>1414.96</v>
      </c>
      <c r="V179" t="s">
        <v>41</v>
      </c>
      <c r="W179" t="s">
        <v>107</v>
      </c>
      <c r="X179">
        <v>4.4000000000000004</v>
      </c>
      <c r="Y179" t="s">
        <v>71</v>
      </c>
      <c r="Z179">
        <v>750</v>
      </c>
      <c r="AA179" t="s">
        <v>61</v>
      </c>
      <c r="AB179">
        <v>14</v>
      </c>
      <c r="AC179">
        <v>2021</v>
      </c>
      <c r="AD179">
        <v>2026</v>
      </c>
    </row>
    <row r="180" spans="1:30">
      <c r="A180" t="s">
        <v>596</v>
      </c>
      <c r="B180" t="s">
        <v>597</v>
      </c>
      <c r="C180" t="s">
        <v>141</v>
      </c>
      <c r="D180" t="s">
        <v>777</v>
      </c>
      <c r="E180" t="s">
        <v>274</v>
      </c>
      <c r="F180">
        <v>2003</v>
      </c>
      <c r="G180" t="s">
        <v>34</v>
      </c>
      <c r="H180" t="s">
        <v>58</v>
      </c>
      <c r="I180">
        <v>8.5</v>
      </c>
      <c r="J180" t="s">
        <v>36</v>
      </c>
      <c r="K180" t="s">
        <v>59</v>
      </c>
      <c r="L180" t="s">
        <v>37</v>
      </c>
      <c r="M180" t="s">
        <v>38</v>
      </c>
      <c r="N180" t="s">
        <v>321</v>
      </c>
      <c r="O180" t="s">
        <v>118</v>
      </c>
      <c r="P180" s="3">
        <v>382.93</v>
      </c>
      <c r="Q180" s="3">
        <v>144.71</v>
      </c>
      <c r="R180" s="4">
        <f t="shared" si="4"/>
        <v>0.6220980335831614</v>
      </c>
      <c r="S180">
        <v>200</v>
      </c>
      <c r="T180">
        <v>36</v>
      </c>
      <c r="U180" s="3">
        <f t="shared" si="5"/>
        <v>76586</v>
      </c>
      <c r="V180" t="s">
        <v>41</v>
      </c>
      <c r="W180" t="s">
        <v>70</v>
      </c>
      <c r="X180">
        <v>3.8</v>
      </c>
      <c r="Y180" t="s">
        <v>43</v>
      </c>
      <c r="Z180">
        <v>750</v>
      </c>
      <c r="AA180" t="s">
        <v>44</v>
      </c>
      <c r="AB180">
        <v>8</v>
      </c>
      <c r="AC180">
        <v>2022</v>
      </c>
      <c r="AD180">
        <v>2029</v>
      </c>
    </row>
    <row r="181" spans="1:30">
      <c r="A181" t="s">
        <v>598</v>
      </c>
      <c r="B181" t="s">
        <v>599</v>
      </c>
      <c r="C181" t="s">
        <v>56</v>
      </c>
      <c r="D181" t="s">
        <v>765</v>
      </c>
      <c r="E181" t="s">
        <v>317</v>
      </c>
      <c r="F181">
        <v>2022</v>
      </c>
      <c r="G181" t="s">
        <v>151</v>
      </c>
      <c r="H181" t="s">
        <v>285</v>
      </c>
      <c r="I181">
        <v>7.4</v>
      </c>
      <c r="J181" t="s">
        <v>81</v>
      </c>
      <c r="K181" t="s">
        <v>37</v>
      </c>
      <c r="L181" t="s">
        <v>37</v>
      </c>
      <c r="M181" t="s">
        <v>67</v>
      </c>
      <c r="N181" t="s">
        <v>327</v>
      </c>
      <c r="O181" t="s">
        <v>190</v>
      </c>
      <c r="P181" s="3">
        <v>44.57</v>
      </c>
      <c r="Q181" s="3">
        <v>18.03</v>
      </c>
      <c r="R181" s="4">
        <f t="shared" si="4"/>
        <v>0.59546780345523898</v>
      </c>
      <c r="S181">
        <v>48</v>
      </c>
      <c r="T181">
        <v>50</v>
      </c>
      <c r="U181" s="3">
        <f t="shared" si="5"/>
        <v>2139.36</v>
      </c>
      <c r="V181" t="s">
        <v>41</v>
      </c>
      <c r="W181" t="s">
        <v>70</v>
      </c>
      <c r="X181">
        <v>4.8</v>
      </c>
      <c r="Y181" t="s">
        <v>71</v>
      </c>
      <c r="Z181">
        <v>750</v>
      </c>
      <c r="AA181" t="s">
        <v>85</v>
      </c>
      <c r="AB181">
        <v>14</v>
      </c>
      <c r="AC181">
        <v>2024</v>
      </c>
      <c r="AD181">
        <v>2036</v>
      </c>
    </row>
    <row r="182" spans="1:30">
      <c r="A182" t="s">
        <v>600</v>
      </c>
      <c r="B182" t="s">
        <v>601</v>
      </c>
      <c r="C182" t="s">
        <v>115</v>
      </c>
      <c r="D182" t="s">
        <v>768</v>
      </c>
      <c r="E182" t="s">
        <v>142</v>
      </c>
      <c r="F182">
        <v>2004</v>
      </c>
      <c r="G182" t="s">
        <v>88</v>
      </c>
      <c r="H182" t="s">
        <v>135</v>
      </c>
      <c r="I182">
        <v>9.5</v>
      </c>
      <c r="J182" t="s">
        <v>36</v>
      </c>
      <c r="K182" t="s">
        <v>59</v>
      </c>
      <c r="L182" t="s">
        <v>37</v>
      </c>
      <c r="M182" t="s">
        <v>59</v>
      </c>
      <c r="N182" t="s">
        <v>602</v>
      </c>
      <c r="O182" t="s">
        <v>195</v>
      </c>
      <c r="P182" s="3">
        <v>185.74</v>
      </c>
      <c r="Q182" s="3">
        <v>114.99</v>
      </c>
      <c r="R182" s="4">
        <f t="shared" si="4"/>
        <v>0.38090879724345866</v>
      </c>
      <c r="S182">
        <v>350</v>
      </c>
      <c r="T182">
        <v>12</v>
      </c>
      <c r="U182" s="3">
        <f t="shared" si="5"/>
        <v>65009</v>
      </c>
      <c r="V182" t="s">
        <v>41</v>
      </c>
      <c r="W182" t="s">
        <v>70</v>
      </c>
      <c r="X182">
        <v>3.5</v>
      </c>
      <c r="Y182" t="s">
        <v>71</v>
      </c>
      <c r="Z182">
        <v>750</v>
      </c>
      <c r="AA182" t="s">
        <v>61</v>
      </c>
      <c r="AB182">
        <v>14</v>
      </c>
      <c r="AC182">
        <v>2025</v>
      </c>
      <c r="AD182">
        <v>2030</v>
      </c>
    </row>
    <row r="183" spans="1:30">
      <c r="A183" t="s">
        <v>603</v>
      </c>
      <c r="B183" t="s">
        <v>604</v>
      </c>
      <c r="C183" t="s">
        <v>121</v>
      </c>
      <c r="D183" t="s">
        <v>794</v>
      </c>
      <c r="E183" t="s">
        <v>142</v>
      </c>
      <c r="F183">
        <v>2009</v>
      </c>
      <c r="G183" t="s">
        <v>34</v>
      </c>
      <c r="H183" t="s">
        <v>242</v>
      </c>
      <c r="I183">
        <v>10.9</v>
      </c>
      <c r="J183" t="s">
        <v>36</v>
      </c>
      <c r="K183" t="s">
        <v>37</v>
      </c>
      <c r="L183" t="s">
        <v>59</v>
      </c>
      <c r="M183" t="s">
        <v>38</v>
      </c>
      <c r="N183" t="s">
        <v>341</v>
      </c>
      <c r="O183" t="s">
        <v>98</v>
      </c>
      <c r="P183" s="3">
        <v>94.59</v>
      </c>
      <c r="Q183" s="3">
        <v>66.5</v>
      </c>
      <c r="R183" s="4">
        <f t="shared" si="4"/>
        <v>0.2969658526271276</v>
      </c>
      <c r="S183">
        <v>3</v>
      </c>
      <c r="T183">
        <v>24</v>
      </c>
      <c r="U183" s="3">
        <f t="shared" si="5"/>
        <v>283.77</v>
      </c>
      <c r="V183" t="s">
        <v>77</v>
      </c>
      <c r="W183" t="s">
        <v>70</v>
      </c>
      <c r="X183">
        <v>4.2</v>
      </c>
      <c r="Y183" t="s">
        <v>43</v>
      </c>
      <c r="Z183">
        <v>750</v>
      </c>
      <c r="AA183" t="s">
        <v>44</v>
      </c>
      <c r="AB183">
        <v>14</v>
      </c>
      <c r="AC183">
        <v>2021</v>
      </c>
      <c r="AD183">
        <v>2025</v>
      </c>
    </row>
    <row r="184" spans="1:30">
      <c r="A184" t="s">
        <v>605</v>
      </c>
      <c r="B184" t="s">
        <v>606</v>
      </c>
      <c r="C184" t="s">
        <v>177</v>
      </c>
      <c r="D184" t="s">
        <v>783</v>
      </c>
      <c r="E184" t="s">
        <v>260</v>
      </c>
      <c r="F184">
        <v>2020</v>
      </c>
      <c r="G184" t="s">
        <v>34</v>
      </c>
      <c r="H184" t="s">
        <v>242</v>
      </c>
      <c r="I184">
        <v>8.9</v>
      </c>
      <c r="J184" t="s">
        <v>36</v>
      </c>
      <c r="K184" t="s">
        <v>59</v>
      </c>
      <c r="L184" t="s">
        <v>50</v>
      </c>
      <c r="M184" t="s">
        <v>38</v>
      </c>
      <c r="N184" t="s">
        <v>384</v>
      </c>
      <c r="O184" t="s">
        <v>40</v>
      </c>
      <c r="P184" s="3">
        <v>386.79</v>
      </c>
      <c r="Q184" s="3">
        <v>177.78</v>
      </c>
      <c r="R184" s="4">
        <f t="shared" si="4"/>
        <v>0.54037074381447303</v>
      </c>
      <c r="S184">
        <v>48</v>
      </c>
      <c r="T184">
        <v>36</v>
      </c>
      <c r="U184" s="3">
        <f t="shared" si="5"/>
        <v>18565.920000000002</v>
      </c>
      <c r="V184" t="s">
        <v>77</v>
      </c>
      <c r="W184" t="s">
        <v>102</v>
      </c>
      <c r="X184">
        <v>4.2</v>
      </c>
      <c r="Y184" t="s">
        <v>71</v>
      </c>
      <c r="Z184">
        <v>750</v>
      </c>
      <c r="AA184" t="s">
        <v>44</v>
      </c>
      <c r="AB184">
        <v>14</v>
      </c>
      <c r="AC184">
        <v>2021</v>
      </c>
      <c r="AD184">
        <v>2036</v>
      </c>
    </row>
    <row r="185" spans="1:30">
      <c r="A185" t="s">
        <v>607</v>
      </c>
      <c r="B185" t="s">
        <v>608</v>
      </c>
      <c r="C185" t="s">
        <v>56</v>
      </c>
      <c r="D185" t="s">
        <v>788</v>
      </c>
      <c r="E185" t="s">
        <v>160</v>
      </c>
      <c r="F185">
        <v>2020</v>
      </c>
      <c r="G185" t="s">
        <v>151</v>
      </c>
      <c r="H185" t="s">
        <v>152</v>
      </c>
      <c r="I185">
        <v>13.5</v>
      </c>
      <c r="J185" t="s">
        <v>36</v>
      </c>
      <c r="K185" t="s">
        <v>37</v>
      </c>
      <c r="L185" t="s">
        <v>37</v>
      </c>
      <c r="M185" t="s">
        <v>67</v>
      </c>
      <c r="N185" t="s">
        <v>293</v>
      </c>
      <c r="O185" t="s">
        <v>154</v>
      </c>
      <c r="P185" s="3">
        <v>85.03</v>
      </c>
      <c r="Q185" s="3">
        <v>49.5</v>
      </c>
      <c r="R185" s="4">
        <f t="shared" si="4"/>
        <v>0.41785252263906858</v>
      </c>
      <c r="S185">
        <v>12</v>
      </c>
      <c r="T185">
        <v>12</v>
      </c>
      <c r="U185" s="3">
        <f t="shared" si="5"/>
        <v>1020.36</v>
      </c>
      <c r="V185" t="s">
        <v>77</v>
      </c>
      <c r="W185" t="s">
        <v>53</v>
      </c>
      <c r="X185">
        <v>4.8</v>
      </c>
      <c r="Y185" t="s">
        <v>43</v>
      </c>
      <c r="Z185">
        <v>750</v>
      </c>
      <c r="AA185" t="s">
        <v>85</v>
      </c>
      <c r="AB185">
        <v>10</v>
      </c>
      <c r="AC185">
        <v>2024</v>
      </c>
      <c r="AD185">
        <v>2031</v>
      </c>
    </row>
    <row r="186" spans="1:30">
      <c r="A186" t="s">
        <v>609</v>
      </c>
      <c r="B186" t="s">
        <v>610</v>
      </c>
      <c r="C186" t="s">
        <v>74</v>
      </c>
      <c r="D186" t="s">
        <v>774</v>
      </c>
      <c r="E186" t="s">
        <v>406</v>
      </c>
      <c r="F186">
        <v>2023</v>
      </c>
      <c r="G186" t="s">
        <v>88</v>
      </c>
      <c r="H186" t="s">
        <v>181</v>
      </c>
      <c r="I186">
        <v>7.1</v>
      </c>
      <c r="J186" t="s">
        <v>81</v>
      </c>
      <c r="K186" t="s">
        <v>59</v>
      </c>
      <c r="L186" t="s">
        <v>37</v>
      </c>
      <c r="M186" t="s">
        <v>59</v>
      </c>
      <c r="N186" t="s">
        <v>481</v>
      </c>
      <c r="O186" t="s">
        <v>91</v>
      </c>
      <c r="P186" s="3">
        <v>51.14</v>
      </c>
      <c r="Q186" s="3">
        <v>22.68</v>
      </c>
      <c r="R186" s="4">
        <f t="shared" si="4"/>
        <v>0.55651153695737188</v>
      </c>
      <c r="S186">
        <v>1000</v>
      </c>
      <c r="T186">
        <v>12</v>
      </c>
      <c r="U186" s="3">
        <f t="shared" si="5"/>
        <v>51140</v>
      </c>
      <c r="V186" t="s">
        <v>41</v>
      </c>
      <c r="W186" t="s">
        <v>102</v>
      </c>
      <c r="X186">
        <v>4.7</v>
      </c>
      <c r="Y186" t="s">
        <v>43</v>
      </c>
      <c r="Z186">
        <v>750</v>
      </c>
      <c r="AA186" t="s">
        <v>85</v>
      </c>
      <c r="AB186">
        <v>8</v>
      </c>
      <c r="AC186">
        <v>2028</v>
      </c>
      <c r="AD186">
        <v>2037</v>
      </c>
    </row>
    <row r="187" spans="1:30">
      <c r="A187" t="s">
        <v>611</v>
      </c>
      <c r="B187" t="s">
        <v>612</v>
      </c>
      <c r="C187" t="s">
        <v>141</v>
      </c>
      <c r="D187" t="s">
        <v>783</v>
      </c>
      <c r="E187" t="s">
        <v>268</v>
      </c>
      <c r="F187">
        <v>2018</v>
      </c>
      <c r="G187" t="s">
        <v>65</v>
      </c>
      <c r="H187" t="s">
        <v>211</v>
      </c>
      <c r="I187">
        <v>8.9</v>
      </c>
      <c r="J187" t="s">
        <v>36</v>
      </c>
      <c r="K187" t="s">
        <v>59</v>
      </c>
      <c r="L187" t="s">
        <v>37</v>
      </c>
      <c r="M187" t="s">
        <v>67</v>
      </c>
      <c r="N187" t="s">
        <v>68</v>
      </c>
      <c r="O187" t="s">
        <v>83</v>
      </c>
      <c r="P187" s="3">
        <v>962.1</v>
      </c>
      <c r="Q187" s="3">
        <v>446.97</v>
      </c>
      <c r="R187" s="4">
        <f t="shared" si="4"/>
        <v>0.53542251325226065</v>
      </c>
      <c r="S187">
        <v>8</v>
      </c>
      <c r="T187">
        <v>50</v>
      </c>
      <c r="U187" s="3">
        <f t="shared" si="5"/>
        <v>7696.8</v>
      </c>
      <c r="V187" t="s">
        <v>41</v>
      </c>
      <c r="W187" t="s">
        <v>70</v>
      </c>
      <c r="X187">
        <v>3.4</v>
      </c>
      <c r="Y187" t="s">
        <v>43</v>
      </c>
      <c r="Z187">
        <v>750</v>
      </c>
      <c r="AA187" t="s">
        <v>44</v>
      </c>
      <c r="AB187">
        <v>10</v>
      </c>
      <c r="AC187">
        <v>2025</v>
      </c>
      <c r="AD187">
        <v>2039</v>
      </c>
    </row>
    <row r="188" spans="1:30">
      <c r="A188" t="s">
        <v>613</v>
      </c>
      <c r="B188" t="s">
        <v>614</v>
      </c>
      <c r="C188" t="s">
        <v>148</v>
      </c>
      <c r="D188" t="s">
        <v>766</v>
      </c>
      <c r="E188" t="s">
        <v>313</v>
      </c>
      <c r="F188">
        <v>2007</v>
      </c>
      <c r="G188" t="s">
        <v>34</v>
      </c>
      <c r="H188" t="s">
        <v>242</v>
      </c>
      <c r="I188">
        <v>13.7</v>
      </c>
      <c r="J188" t="s">
        <v>81</v>
      </c>
      <c r="K188" t="s">
        <v>37</v>
      </c>
      <c r="L188" t="s">
        <v>50</v>
      </c>
      <c r="M188" t="s">
        <v>38</v>
      </c>
      <c r="N188" t="s">
        <v>429</v>
      </c>
      <c r="O188" t="s">
        <v>98</v>
      </c>
      <c r="P188" s="3">
        <v>130.05000000000001</v>
      </c>
      <c r="Q188" s="3">
        <v>84.89</v>
      </c>
      <c r="R188" s="4">
        <f t="shared" si="4"/>
        <v>0.34725105728565941</v>
      </c>
      <c r="S188">
        <v>12</v>
      </c>
      <c r="T188">
        <v>12</v>
      </c>
      <c r="U188" s="3">
        <f t="shared" si="5"/>
        <v>1560.6000000000001</v>
      </c>
      <c r="V188" t="s">
        <v>41</v>
      </c>
      <c r="W188" t="s">
        <v>107</v>
      </c>
      <c r="X188">
        <v>4.0999999999999996</v>
      </c>
      <c r="Y188" t="s">
        <v>43</v>
      </c>
      <c r="Z188">
        <v>750</v>
      </c>
      <c r="AA188" t="s">
        <v>61</v>
      </c>
      <c r="AB188">
        <v>16</v>
      </c>
      <c r="AC188">
        <v>2024</v>
      </c>
      <c r="AD188">
        <v>2028</v>
      </c>
    </row>
    <row r="189" spans="1:30">
      <c r="A189" t="s">
        <v>615</v>
      </c>
      <c r="B189" t="s">
        <v>616</v>
      </c>
      <c r="C189" t="s">
        <v>32</v>
      </c>
      <c r="D189" t="s">
        <v>776</v>
      </c>
      <c r="E189" t="s">
        <v>128</v>
      </c>
      <c r="F189">
        <v>2002</v>
      </c>
      <c r="G189" t="s">
        <v>88</v>
      </c>
      <c r="H189" t="s">
        <v>161</v>
      </c>
      <c r="I189">
        <v>11</v>
      </c>
      <c r="J189" t="s">
        <v>36</v>
      </c>
      <c r="K189" t="s">
        <v>59</v>
      </c>
      <c r="L189" t="s">
        <v>37</v>
      </c>
      <c r="M189" t="s">
        <v>59</v>
      </c>
      <c r="N189" t="s">
        <v>194</v>
      </c>
      <c r="O189" t="s">
        <v>195</v>
      </c>
      <c r="P189" s="3">
        <v>199.87</v>
      </c>
      <c r="Q189" s="3">
        <v>98.33</v>
      </c>
      <c r="R189" s="4">
        <f t="shared" si="4"/>
        <v>0.50803021964276784</v>
      </c>
      <c r="S189">
        <v>3</v>
      </c>
      <c r="T189">
        <v>50</v>
      </c>
      <c r="U189" s="3">
        <f t="shared" si="5"/>
        <v>599.61</v>
      </c>
      <c r="V189" t="s">
        <v>41</v>
      </c>
      <c r="W189" t="s">
        <v>70</v>
      </c>
      <c r="X189">
        <v>4.4000000000000004</v>
      </c>
      <c r="Y189" t="s">
        <v>71</v>
      </c>
      <c r="Z189">
        <v>750</v>
      </c>
      <c r="AA189" t="s">
        <v>61</v>
      </c>
      <c r="AB189">
        <v>18</v>
      </c>
      <c r="AC189">
        <v>2024</v>
      </c>
      <c r="AD189">
        <v>2034</v>
      </c>
    </row>
    <row r="190" spans="1:30">
      <c r="A190" t="s">
        <v>617</v>
      </c>
      <c r="B190" t="s">
        <v>618</v>
      </c>
      <c r="C190" t="s">
        <v>115</v>
      </c>
      <c r="D190" t="s">
        <v>778</v>
      </c>
      <c r="E190" t="s">
        <v>260</v>
      </c>
      <c r="F190">
        <v>2013</v>
      </c>
      <c r="G190" t="s">
        <v>134</v>
      </c>
      <c r="H190" t="s">
        <v>135</v>
      </c>
      <c r="I190">
        <v>14.8</v>
      </c>
      <c r="J190" t="s">
        <v>136</v>
      </c>
      <c r="K190" t="s">
        <v>59</v>
      </c>
      <c r="L190" t="s">
        <v>37</v>
      </c>
      <c r="M190" t="s">
        <v>59</v>
      </c>
      <c r="N190" t="s">
        <v>619</v>
      </c>
      <c r="O190" t="s">
        <v>138</v>
      </c>
      <c r="P190" s="3">
        <v>160.81</v>
      </c>
      <c r="Q190" s="3">
        <v>96.43</v>
      </c>
      <c r="R190" s="4">
        <f t="shared" si="4"/>
        <v>0.40034823704993466</v>
      </c>
      <c r="S190">
        <v>36</v>
      </c>
      <c r="T190">
        <v>24</v>
      </c>
      <c r="U190" s="3">
        <f t="shared" si="5"/>
        <v>5789.16</v>
      </c>
      <c r="V190" t="s">
        <v>77</v>
      </c>
      <c r="W190" t="s">
        <v>70</v>
      </c>
      <c r="X190">
        <v>3.9</v>
      </c>
      <c r="Y190" t="s">
        <v>71</v>
      </c>
      <c r="Z190">
        <v>1500</v>
      </c>
      <c r="AA190" t="s">
        <v>44</v>
      </c>
      <c r="AB190">
        <v>14</v>
      </c>
      <c r="AC190">
        <v>2027</v>
      </c>
      <c r="AD190">
        <v>2030</v>
      </c>
    </row>
    <row r="191" spans="1:30">
      <c r="A191" t="s">
        <v>620</v>
      </c>
      <c r="B191" t="s">
        <v>621</v>
      </c>
      <c r="C191" t="s">
        <v>56</v>
      </c>
      <c r="D191" t="s">
        <v>753</v>
      </c>
      <c r="E191" t="s">
        <v>169</v>
      </c>
      <c r="F191">
        <v>2023</v>
      </c>
      <c r="G191" t="s">
        <v>34</v>
      </c>
      <c r="H191" t="s">
        <v>66</v>
      </c>
      <c r="I191">
        <v>14.8</v>
      </c>
      <c r="J191" t="s">
        <v>36</v>
      </c>
      <c r="K191" t="s">
        <v>50</v>
      </c>
      <c r="L191" t="s">
        <v>50</v>
      </c>
      <c r="M191" t="s">
        <v>38</v>
      </c>
      <c r="N191" t="s">
        <v>60</v>
      </c>
      <c r="O191" t="s">
        <v>40</v>
      </c>
      <c r="P191" s="3">
        <v>182.06</v>
      </c>
      <c r="Q191" s="3">
        <v>106.22</v>
      </c>
      <c r="R191" s="4">
        <f t="shared" si="4"/>
        <v>0.4165659672635395</v>
      </c>
      <c r="S191">
        <v>120</v>
      </c>
      <c r="T191">
        <v>12</v>
      </c>
      <c r="U191" s="3">
        <f t="shared" si="5"/>
        <v>21847.200000000001</v>
      </c>
      <c r="V191" t="s">
        <v>41</v>
      </c>
      <c r="W191" t="s">
        <v>102</v>
      </c>
      <c r="X191">
        <v>4.8</v>
      </c>
      <c r="Y191" t="s">
        <v>43</v>
      </c>
      <c r="Z191">
        <v>375</v>
      </c>
      <c r="AA191" t="s">
        <v>85</v>
      </c>
      <c r="AB191">
        <v>14</v>
      </c>
      <c r="AC191">
        <v>2028</v>
      </c>
      <c r="AD191">
        <v>2034</v>
      </c>
    </row>
    <row r="192" spans="1:30">
      <c r="A192" t="s">
        <v>622</v>
      </c>
      <c r="B192" t="s">
        <v>623</v>
      </c>
      <c r="C192" t="s">
        <v>148</v>
      </c>
      <c r="D192" t="s">
        <v>781</v>
      </c>
      <c r="E192" t="s">
        <v>48</v>
      </c>
      <c r="F192">
        <v>2017</v>
      </c>
      <c r="G192" t="s">
        <v>34</v>
      </c>
      <c r="H192" t="s">
        <v>35</v>
      </c>
      <c r="I192">
        <v>11.4</v>
      </c>
      <c r="J192" t="s">
        <v>81</v>
      </c>
      <c r="K192" t="s">
        <v>50</v>
      </c>
      <c r="L192" t="s">
        <v>59</v>
      </c>
      <c r="M192" t="s">
        <v>38</v>
      </c>
      <c r="N192" t="s">
        <v>384</v>
      </c>
      <c r="O192" t="s">
        <v>40</v>
      </c>
      <c r="P192" s="3">
        <v>87.52</v>
      </c>
      <c r="Q192" s="3">
        <v>35.26</v>
      </c>
      <c r="R192" s="4">
        <f t="shared" si="4"/>
        <v>0.59712065813528337</v>
      </c>
      <c r="S192">
        <v>600</v>
      </c>
      <c r="T192">
        <v>12</v>
      </c>
      <c r="U192" s="3">
        <f t="shared" si="5"/>
        <v>52512</v>
      </c>
      <c r="V192" t="s">
        <v>77</v>
      </c>
      <c r="W192" t="s">
        <v>107</v>
      </c>
      <c r="X192">
        <v>4.5</v>
      </c>
      <c r="Y192" t="s">
        <v>43</v>
      </c>
      <c r="Z192">
        <v>750</v>
      </c>
      <c r="AA192" t="s">
        <v>85</v>
      </c>
      <c r="AB192">
        <v>18</v>
      </c>
      <c r="AC192">
        <v>2024</v>
      </c>
      <c r="AD192">
        <v>2036</v>
      </c>
    </row>
    <row r="193" spans="1:30">
      <c r="A193" t="s">
        <v>624</v>
      </c>
      <c r="B193" t="s">
        <v>625</v>
      </c>
      <c r="C193" t="s">
        <v>148</v>
      </c>
      <c r="D193" t="s">
        <v>755</v>
      </c>
      <c r="E193" t="s">
        <v>133</v>
      </c>
      <c r="F193">
        <v>2012</v>
      </c>
      <c r="G193" t="s">
        <v>34</v>
      </c>
      <c r="H193" t="s">
        <v>66</v>
      </c>
      <c r="I193">
        <v>15</v>
      </c>
      <c r="J193" t="s">
        <v>36</v>
      </c>
      <c r="K193" t="s">
        <v>37</v>
      </c>
      <c r="L193" t="s">
        <v>50</v>
      </c>
      <c r="M193" t="s">
        <v>38</v>
      </c>
      <c r="N193" t="s">
        <v>372</v>
      </c>
      <c r="O193" t="s">
        <v>52</v>
      </c>
      <c r="P193" s="3">
        <v>247.87</v>
      </c>
      <c r="Q193" s="3">
        <v>138.28</v>
      </c>
      <c r="R193" s="4">
        <f t="shared" si="4"/>
        <v>0.44212692137007303</v>
      </c>
      <c r="S193">
        <v>0</v>
      </c>
      <c r="T193">
        <v>24</v>
      </c>
      <c r="U193" s="3">
        <f t="shared" si="5"/>
        <v>0</v>
      </c>
      <c r="V193" t="s">
        <v>84</v>
      </c>
      <c r="W193" t="s">
        <v>107</v>
      </c>
      <c r="X193">
        <v>5</v>
      </c>
      <c r="Y193" t="s">
        <v>43</v>
      </c>
      <c r="Z193">
        <v>750</v>
      </c>
      <c r="AA193" t="s">
        <v>61</v>
      </c>
      <c r="AB193">
        <v>10</v>
      </c>
      <c r="AC193">
        <v>2023</v>
      </c>
      <c r="AD193">
        <v>2033</v>
      </c>
    </row>
    <row r="194" spans="1:30">
      <c r="A194" t="s">
        <v>626</v>
      </c>
      <c r="B194" t="s">
        <v>627</v>
      </c>
      <c r="C194" t="s">
        <v>132</v>
      </c>
      <c r="D194" t="s">
        <v>775</v>
      </c>
      <c r="E194" t="s">
        <v>48</v>
      </c>
      <c r="F194">
        <v>1998</v>
      </c>
      <c r="G194" t="s">
        <v>34</v>
      </c>
      <c r="H194" t="s">
        <v>66</v>
      </c>
      <c r="I194">
        <v>8.3000000000000007</v>
      </c>
      <c r="J194" t="s">
        <v>36</v>
      </c>
      <c r="K194" t="s">
        <v>37</v>
      </c>
      <c r="L194" t="s">
        <v>50</v>
      </c>
      <c r="M194" t="s">
        <v>38</v>
      </c>
      <c r="N194" t="s">
        <v>545</v>
      </c>
      <c r="O194" t="s">
        <v>98</v>
      </c>
      <c r="P194" s="3">
        <v>111.73</v>
      </c>
      <c r="Q194" s="3">
        <v>67.489999999999995</v>
      </c>
      <c r="R194" s="4">
        <f t="shared" ref="R194:R251" si="6">IFERROR((P194-Q194)/P194,0)</f>
        <v>0.39595453324979868</v>
      </c>
      <c r="S194">
        <v>1000</v>
      </c>
      <c r="T194">
        <v>12</v>
      </c>
      <c r="U194" s="3">
        <f t="shared" ref="U194:U251" si="7">P194*S194</f>
        <v>111730</v>
      </c>
      <c r="V194" t="s">
        <v>41</v>
      </c>
      <c r="W194" t="s">
        <v>42</v>
      </c>
      <c r="X194">
        <v>4.2</v>
      </c>
      <c r="Y194" t="s">
        <v>43</v>
      </c>
      <c r="Z194">
        <v>750</v>
      </c>
      <c r="AA194" t="s">
        <v>44</v>
      </c>
      <c r="AB194">
        <v>14</v>
      </c>
      <c r="AC194">
        <v>2028</v>
      </c>
      <c r="AD194">
        <v>2038</v>
      </c>
    </row>
    <row r="195" spans="1:30">
      <c r="A195" t="s">
        <v>628</v>
      </c>
      <c r="B195" t="s">
        <v>629</v>
      </c>
      <c r="C195" t="s">
        <v>132</v>
      </c>
      <c r="D195" t="s">
        <v>790</v>
      </c>
      <c r="E195" t="s">
        <v>317</v>
      </c>
      <c r="F195">
        <v>2013</v>
      </c>
      <c r="G195" t="s">
        <v>34</v>
      </c>
      <c r="H195" t="s">
        <v>111</v>
      </c>
      <c r="I195">
        <v>10.3</v>
      </c>
      <c r="J195" t="s">
        <v>81</v>
      </c>
      <c r="K195" t="s">
        <v>59</v>
      </c>
      <c r="L195" t="s">
        <v>37</v>
      </c>
      <c r="M195" t="s">
        <v>38</v>
      </c>
      <c r="N195" t="s">
        <v>205</v>
      </c>
      <c r="O195" t="s">
        <v>98</v>
      </c>
      <c r="P195" s="3">
        <v>115.7</v>
      </c>
      <c r="Q195" s="3">
        <v>52.43</v>
      </c>
      <c r="R195" s="4">
        <f t="shared" si="6"/>
        <v>0.5468452895419188</v>
      </c>
      <c r="S195">
        <v>2</v>
      </c>
      <c r="T195">
        <v>24</v>
      </c>
      <c r="U195" s="3">
        <f t="shared" si="7"/>
        <v>231.4</v>
      </c>
      <c r="V195" t="s">
        <v>77</v>
      </c>
      <c r="W195" t="s">
        <v>107</v>
      </c>
      <c r="X195">
        <v>4.5999999999999996</v>
      </c>
      <c r="Y195" t="s">
        <v>43</v>
      </c>
      <c r="Z195">
        <v>1500</v>
      </c>
      <c r="AA195" t="s">
        <v>61</v>
      </c>
      <c r="AB195">
        <v>12</v>
      </c>
      <c r="AC195">
        <v>2027</v>
      </c>
      <c r="AD195">
        <v>2030</v>
      </c>
    </row>
    <row r="196" spans="1:30">
      <c r="A196" t="s">
        <v>630</v>
      </c>
      <c r="B196" t="s">
        <v>631</v>
      </c>
      <c r="C196" t="s">
        <v>32</v>
      </c>
      <c r="D196" t="s">
        <v>780</v>
      </c>
      <c r="E196" t="s">
        <v>160</v>
      </c>
      <c r="F196">
        <v>2007</v>
      </c>
      <c r="G196" t="s">
        <v>34</v>
      </c>
      <c r="H196" t="s">
        <v>49</v>
      </c>
      <c r="I196">
        <v>9.9</v>
      </c>
      <c r="J196" t="s">
        <v>36</v>
      </c>
      <c r="K196" t="s">
        <v>37</v>
      </c>
      <c r="L196" t="s">
        <v>37</v>
      </c>
      <c r="M196" t="s">
        <v>38</v>
      </c>
      <c r="N196" t="s">
        <v>632</v>
      </c>
      <c r="O196" t="s">
        <v>98</v>
      </c>
      <c r="P196" s="3">
        <v>89.31</v>
      </c>
      <c r="Q196" s="3">
        <v>46.47</v>
      </c>
      <c r="R196" s="4">
        <f t="shared" si="6"/>
        <v>0.47967752771246225</v>
      </c>
      <c r="S196">
        <v>12</v>
      </c>
      <c r="T196">
        <v>6</v>
      </c>
      <c r="U196" s="3">
        <f t="shared" si="7"/>
        <v>1071.72</v>
      </c>
      <c r="V196" t="s">
        <v>41</v>
      </c>
      <c r="W196" t="s">
        <v>53</v>
      </c>
      <c r="X196">
        <v>4.0999999999999996</v>
      </c>
      <c r="Y196" t="s">
        <v>71</v>
      </c>
      <c r="Z196">
        <v>750</v>
      </c>
      <c r="AA196" t="s">
        <v>44</v>
      </c>
      <c r="AB196">
        <v>14</v>
      </c>
      <c r="AC196">
        <v>2023</v>
      </c>
      <c r="AD196">
        <v>2029</v>
      </c>
    </row>
    <row r="197" spans="1:30">
      <c r="A197" t="s">
        <v>633</v>
      </c>
      <c r="B197" t="s">
        <v>634</v>
      </c>
      <c r="C197" t="s">
        <v>32</v>
      </c>
      <c r="D197" t="s">
        <v>781</v>
      </c>
      <c r="E197" t="s">
        <v>165</v>
      </c>
      <c r="F197">
        <v>2016</v>
      </c>
      <c r="G197" t="s">
        <v>65</v>
      </c>
      <c r="H197" t="s">
        <v>80</v>
      </c>
      <c r="I197">
        <v>13.5</v>
      </c>
      <c r="J197" t="s">
        <v>36</v>
      </c>
      <c r="K197" t="s">
        <v>59</v>
      </c>
      <c r="L197" t="s">
        <v>37</v>
      </c>
      <c r="M197" t="s">
        <v>67</v>
      </c>
      <c r="N197" t="s">
        <v>82</v>
      </c>
      <c r="O197" t="s">
        <v>230</v>
      </c>
      <c r="P197" s="3">
        <v>53</v>
      </c>
      <c r="Q197" s="3">
        <v>35.549999999999997</v>
      </c>
      <c r="R197" s="4">
        <f t="shared" si="6"/>
        <v>0.32924528301886796</v>
      </c>
      <c r="S197">
        <v>0</v>
      </c>
      <c r="T197">
        <v>6</v>
      </c>
      <c r="U197" s="3">
        <f t="shared" si="7"/>
        <v>0</v>
      </c>
      <c r="V197" t="s">
        <v>84</v>
      </c>
      <c r="W197" t="s">
        <v>102</v>
      </c>
      <c r="X197">
        <v>4.5999999999999996</v>
      </c>
      <c r="Y197" t="s">
        <v>43</v>
      </c>
      <c r="Z197">
        <v>750</v>
      </c>
      <c r="AA197" t="s">
        <v>85</v>
      </c>
      <c r="AB197">
        <v>16</v>
      </c>
      <c r="AC197">
        <v>2022</v>
      </c>
      <c r="AD197">
        <v>2031</v>
      </c>
    </row>
    <row r="198" spans="1:30">
      <c r="A198" t="s">
        <v>635</v>
      </c>
      <c r="B198" t="s">
        <v>636</v>
      </c>
      <c r="C198" t="s">
        <v>56</v>
      </c>
      <c r="D198" t="s">
        <v>764</v>
      </c>
      <c r="E198" t="s">
        <v>274</v>
      </c>
      <c r="F198">
        <v>1999</v>
      </c>
      <c r="G198" t="s">
        <v>34</v>
      </c>
      <c r="H198" t="s">
        <v>49</v>
      </c>
      <c r="I198">
        <v>7.5</v>
      </c>
      <c r="J198" t="s">
        <v>81</v>
      </c>
      <c r="K198" t="s">
        <v>50</v>
      </c>
      <c r="L198" t="s">
        <v>37</v>
      </c>
      <c r="M198" t="s">
        <v>38</v>
      </c>
      <c r="N198" t="s">
        <v>250</v>
      </c>
      <c r="O198" t="s">
        <v>98</v>
      </c>
      <c r="P198" s="3">
        <v>265.70999999999998</v>
      </c>
      <c r="Q198" s="3">
        <v>123.4</v>
      </c>
      <c r="R198" s="4">
        <f t="shared" si="6"/>
        <v>0.53558390726732141</v>
      </c>
      <c r="S198">
        <v>8</v>
      </c>
      <c r="T198">
        <v>24</v>
      </c>
      <c r="U198" s="3">
        <f t="shared" si="7"/>
        <v>2125.6799999999998</v>
      </c>
      <c r="V198" t="s">
        <v>41</v>
      </c>
      <c r="W198" t="s">
        <v>107</v>
      </c>
      <c r="X198">
        <v>3.4</v>
      </c>
      <c r="Y198" t="s">
        <v>43</v>
      </c>
      <c r="Z198">
        <v>1500</v>
      </c>
      <c r="AA198" t="s">
        <v>44</v>
      </c>
      <c r="AB198">
        <v>18</v>
      </c>
      <c r="AC198">
        <v>2022</v>
      </c>
      <c r="AD198">
        <v>2028</v>
      </c>
    </row>
    <row r="199" spans="1:30">
      <c r="A199" t="s">
        <v>637</v>
      </c>
      <c r="B199" t="s">
        <v>638</v>
      </c>
      <c r="C199" t="s">
        <v>56</v>
      </c>
      <c r="D199" t="s">
        <v>794</v>
      </c>
      <c r="E199" t="s">
        <v>307</v>
      </c>
      <c r="F199">
        <v>2016</v>
      </c>
      <c r="G199" t="s">
        <v>34</v>
      </c>
      <c r="H199" t="s">
        <v>66</v>
      </c>
      <c r="I199">
        <v>11.6</v>
      </c>
      <c r="J199" t="s">
        <v>81</v>
      </c>
      <c r="K199" t="s">
        <v>37</v>
      </c>
      <c r="L199" t="s">
        <v>59</v>
      </c>
      <c r="M199" t="s">
        <v>38</v>
      </c>
      <c r="N199" t="s">
        <v>545</v>
      </c>
      <c r="O199" t="s">
        <v>118</v>
      </c>
      <c r="P199" s="3">
        <v>408.68</v>
      </c>
      <c r="Q199" s="3">
        <v>292.79000000000002</v>
      </c>
      <c r="R199" s="4">
        <f t="shared" si="6"/>
        <v>0.28357149848292057</v>
      </c>
      <c r="S199">
        <v>350</v>
      </c>
      <c r="T199">
        <v>36</v>
      </c>
      <c r="U199" s="3">
        <f t="shared" si="7"/>
        <v>143038</v>
      </c>
      <c r="V199" t="s">
        <v>41</v>
      </c>
      <c r="W199" t="s">
        <v>53</v>
      </c>
      <c r="X199">
        <v>3.4</v>
      </c>
      <c r="Y199" t="s">
        <v>43</v>
      </c>
      <c r="Z199">
        <v>1500</v>
      </c>
      <c r="AA199" t="s">
        <v>85</v>
      </c>
      <c r="AB199">
        <v>8</v>
      </c>
      <c r="AC199">
        <v>2022</v>
      </c>
      <c r="AD199">
        <v>2025</v>
      </c>
    </row>
    <row r="200" spans="1:30">
      <c r="A200" t="s">
        <v>639</v>
      </c>
      <c r="B200" t="s">
        <v>640</v>
      </c>
      <c r="C200" t="s">
        <v>282</v>
      </c>
      <c r="D200" t="s">
        <v>767</v>
      </c>
      <c r="E200" t="s">
        <v>219</v>
      </c>
      <c r="F200">
        <v>1998</v>
      </c>
      <c r="G200" t="s">
        <v>88</v>
      </c>
      <c r="H200" t="s">
        <v>135</v>
      </c>
      <c r="I200">
        <v>8.5</v>
      </c>
      <c r="J200" t="s">
        <v>36</v>
      </c>
      <c r="K200" t="s">
        <v>50</v>
      </c>
      <c r="L200" t="s">
        <v>37</v>
      </c>
      <c r="M200" t="s">
        <v>59</v>
      </c>
      <c r="N200" t="s">
        <v>448</v>
      </c>
      <c r="O200" t="s">
        <v>195</v>
      </c>
      <c r="P200" s="3">
        <v>78.069999999999993</v>
      </c>
      <c r="Q200" s="3">
        <v>50.67</v>
      </c>
      <c r="R200" s="4">
        <f t="shared" si="6"/>
        <v>0.35096708082490063</v>
      </c>
      <c r="S200">
        <v>200</v>
      </c>
      <c r="T200">
        <v>24</v>
      </c>
      <c r="U200" s="3">
        <f t="shared" si="7"/>
        <v>15613.999999999998</v>
      </c>
      <c r="V200" t="s">
        <v>41</v>
      </c>
      <c r="W200" t="s">
        <v>53</v>
      </c>
      <c r="X200">
        <v>3.7</v>
      </c>
      <c r="Y200" t="s">
        <v>71</v>
      </c>
      <c r="Z200">
        <v>375</v>
      </c>
      <c r="AA200" t="s">
        <v>44</v>
      </c>
      <c r="AB200">
        <v>10</v>
      </c>
      <c r="AC200">
        <v>2022</v>
      </c>
      <c r="AD200">
        <v>2028</v>
      </c>
    </row>
    <row r="201" spans="1:30">
      <c r="A201" t="s">
        <v>641</v>
      </c>
      <c r="B201" t="s">
        <v>642</v>
      </c>
      <c r="C201" t="s">
        <v>94</v>
      </c>
      <c r="D201" t="s">
        <v>781</v>
      </c>
      <c r="E201" t="s">
        <v>268</v>
      </c>
      <c r="F201">
        <v>2011</v>
      </c>
      <c r="G201" t="s">
        <v>88</v>
      </c>
      <c r="H201" t="s">
        <v>135</v>
      </c>
      <c r="I201">
        <v>12.1</v>
      </c>
      <c r="J201" t="s">
        <v>36</v>
      </c>
      <c r="K201" t="s">
        <v>50</v>
      </c>
      <c r="L201" t="s">
        <v>37</v>
      </c>
      <c r="M201" t="s">
        <v>59</v>
      </c>
      <c r="N201" t="s">
        <v>381</v>
      </c>
      <c r="O201" t="s">
        <v>201</v>
      </c>
      <c r="P201" s="3">
        <v>217.48</v>
      </c>
      <c r="Q201" s="3">
        <v>101.45</v>
      </c>
      <c r="R201" s="4">
        <f t="shared" si="6"/>
        <v>0.53352032370792712</v>
      </c>
      <c r="S201">
        <v>96</v>
      </c>
      <c r="T201">
        <v>50</v>
      </c>
      <c r="U201" s="3">
        <f t="shared" si="7"/>
        <v>20878.079999999998</v>
      </c>
      <c r="V201" t="s">
        <v>41</v>
      </c>
      <c r="W201" t="s">
        <v>70</v>
      </c>
      <c r="X201">
        <v>4</v>
      </c>
      <c r="Y201" t="s">
        <v>43</v>
      </c>
      <c r="Z201">
        <v>750</v>
      </c>
      <c r="AA201" t="s">
        <v>61</v>
      </c>
      <c r="AB201">
        <v>8</v>
      </c>
      <c r="AC201">
        <v>2026</v>
      </c>
      <c r="AD201">
        <v>2033</v>
      </c>
    </row>
    <row r="202" spans="1:30">
      <c r="A202" t="s">
        <v>643</v>
      </c>
      <c r="B202" t="s">
        <v>644</v>
      </c>
      <c r="C202" t="s">
        <v>94</v>
      </c>
      <c r="D202" t="s">
        <v>789</v>
      </c>
      <c r="E202" t="s">
        <v>105</v>
      </c>
      <c r="F202">
        <v>2024</v>
      </c>
      <c r="G202" t="s">
        <v>34</v>
      </c>
      <c r="H202" t="s">
        <v>96</v>
      </c>
      <c r="I202">
        <v>8.6</v>
      </c>
      <c r="J202" t="s">
        <v>36</v>
      </c>
      <c r="K202" t="s">
        <v>59</v>
      </c>
      <c r="L202" t="s">
        <v>59</v>
      </c>
      <c r="M202" t="s">
        <v>38</v>
      </c>
      <c r="N202" t="s">
        <v>517</v>
      </c>
      <c r="O202" t="s">
        <v>40</v>
      </c>
      <c r="P202" s="3">
        <v>1832.19</v>
      </c>
      <c r="Q202" s="3">
        <v>1183.0999999999999</v>
      </c>
      <c r="R202" s="4">
        <f t="shared" si="6"/>
        <v>0.35427002658021284</v>
      </c>
      <c r="S202">
        <v>2</v>
      </c>
      <c r="T202">
        <v>36</v>
      </c>
      <c r="U202" s="3">
        <f t="shared" si="7"/>
        <v>3664.38</v>
      </c>
      <c r="V202" t="s">
        <v>41</v>
      </c>
      <c r="W202" t="s">
        <v>102</v>
      </c>
      <c r="X202">
        <v>3.5</v>
      </c>
      <c r="Y202" t="s">
        <v>43</v>
      </c>
      <c r="Z202">
        <v>750</v>
      </c>
      <c r="AA202" t="s">
        <v>85</v>
      </c>
      <c r="AB202">
        <v>12</v>
      </c>
      <c r="AC202">
        <v>2026</v>
      </c>
      <c r="AD202">
        <v>2038</v>
      </c>
    </row>
    <row r="203" spans="1:30">
      <c r="A203" t="s">
        <v>645</v>
      </c>
      <c r="B203" t="s">
        <v>646</v>
      </c>
      <c r="C203" t="s">
        <v>121</v>
      </c>
      <c r="D203" t="s">
        <v>796</v>
      </c>
      <c r="E203" t="s">
        <v>647</v>
      </c>
      <c r="F203">
        <v>2004</v>
      </c>
      <c r="G203" t="s">
        <v>34</v>
      </c>
      <c r="H203" t="s">
        <v>111</v>
      </c>
      <c r="I203">
        <v>14.4</v>
      </c>
      <c r="J203" t="s">
        <v>36</v>
      </c>
      <c r="K203" t="s">
        <v>37</v>
      </c>
      <c r="L203" t="s">
        <v>59</v>
      </c>
      <c r="M203" t="s">
        <v>38</v>
      </c>
      <c r="N203" t="s">
        <v>648</v>
      </c>
      <c r="O203" t="s">
        <v>40</v>
      </c>
      <c r="P203" s="3">
        <v>152.1</v>
      </c>
      <c r="Q203" s="3">
        <v>89.24</v>
      </c>
      <c r="R203" s="4">
        <f t="shared" si="6"/>
        <v>0.41328073635765944</v>
      </c>
      <c r="S203">
        <v>1</v>
      </c>
      <c r="T203">
        <v>6</v>
      </c>
      <c r="U203" s="3">
        <f t="shared" si="7"/>
        <v>152.1</v>
      </c>
      <c r="V203" t="s">
        <v>41</v>
      </c>
      <c r="W203" t="s">
        <v>102</v>
      </c>
      <c r="X203">
        <v>3.9</v>
      </c>
      <c r="Y203" t="s">
        <v>43</v>
      </c>
      <c r="Z203">
        <v>1500</v>
      </c>
      <c r="AA203" t="s">
        <v>44</v>
      </c>
      <c r="AB203">
        <v>10</v>
      </c>
      <c r="AC203">
        <v>2026</v>
      </c>
      <c r="AD203">
        <v>2034</v>
      </c>
    </row>
    <row r="204" spans="1:30">
      <c r="A204" t="s">
        <v>649</v>
      </c>
      <c r="B204" t="s">
        <v>650</v>
      </c>
      <c r="C204" t="s">
        <v>94</v>
      </c>
      <c r="D204" t="s">
        <v>793</v>
      </c>
      <c r="E204" t="s">
        <v>307</v>
      </c>
      <c r="F204">
        <v>2023</v>
      </c>
      <c r="G204" t="s">
        <v>151</v>
      </c>
      <c r="H204" t="s">
        <v>152</v>
      </c>
      <c r="I204">
        <v>15.7</v>
      </c>
      <c r="J204" t="s">
        <v>36</v>
      </c>
      <c r="K204" t="s">
        <v>59</v>
      </c>
      <c r="L204" t="s">
        <v>37</v>
      </c>
      <c r="M204" t="s">
        <v>67</v>
      </c>
      <c r="N204" t="s">
        <v>522</v>
      </c>
      <c r="O204" t="s">
        <v>356</v>
      </c>
      <c r="P204" s="3">
        <v>162.88</v>
      </c>
      <c r="Q204" s="3">
        <v>68.849999999999994</v>
      </c>
      <c r="R204" s="4">
        <f t="shared" si="6"/>
        <v>0.57729616895874269</v>
      </c>
      <c r="S204">
        <v>0</v>
      </c>
      <c r="T204">
        <v>24</v>
      </c>
      <c r="U204" s="3">
        <f t="shared" si="7"/>
        <v>0</v>
      </c>
      <c r="V204" t="s">
        <v>84</v>
      </c>
      <c r="W204" t="s">
        <v>102</v>
      </c>
      <c r="X204">
        <v>3.9</v>
      </c>
      <c r="Y204" t="s">
        <v>43</v>
      </c>
      <c r="Z204">
        <v>750</v>
      </c>
      <c r="AA204" t="s">
        <v>85</v>
      </c>
      <c r="AB204">
        <v>14</v>
      </c>
      <c r="AC204">
        <v>2024</v>
      </c>
      <c r="AD204">
        <v>2032</v>
      </c>
    </row>
    <row r="205" spans="1:30">
      <c r="A205" t="s">
        <v>651</v>
      </c>
      <c r="B205" t="s">
        <v>652</v>
      </c>
      <c r="C205" t="s">
        <v>282</v>
      </c>
      <c r="D205" t="s">
        <v>773</v>
      </c>
      <c r="E205" t="s">
        <v>188</v>
      </c>
      <c r="F205">
        <v>2009</v>
      </c>
      <c r="G205" t="s">
        <v>34</v>
      </c>
      <c r="H205" t="s">
        <v>35</v>
      </c>
      <c r="I205">
        <v>14.4</v>
      </c>
      <c r="J205" t="s">
        <v>36</v>
      </c>
      <c r="K205" t="s">
        <v>59</v>
      </c>
      <c r="L205" t="s">
        <v>37</v>
      </c>
      <c r="M205" t="s">
        <v>38</v>
      </c>
      <c r="N205" t="s">
        <v>117</v>
      </c>
      <c r="O205" t="s">
        <v>98</v>
      </c>
      <c r="P205" s="3">
        <v>131.80000000000001</v>
      </c>
      <c r="Q205" s="3">
        <v>71.17</v>
      </c>
      <c r="R205" s="4">
        <f t="shared" si="6"/>
        <v>0.46001517450682855</v>
      </c>
      <c r="S205">
        <v>120</v>
      </c>
      <c r="T205">
        <v>50</v>
      </c>
      <c r="U205" s="3">
        <f t="shared" si="7"/>
        <v>15816.000000000002</v>
      </c>
      <c r="V205" t="s">
        <v>77</v>
      </c>
      <c r="W205" t="s">
        <v>102</v>
      </c>
      <c r="X205">
        <v>4.0999999999999996</v>
      </c>
      <c r="Y205" t="s">
        <v>43</v>
      </c>
      <c r="Z205">
        <v>750</v>
      </c>
      <c r="AA205" t="s">
        <v>44</v>
      </c>
      <c r="AB205">
        <v>10</v>
      </c>
      <c r="AC205">
        <v>2025</v>
      </c>
      <c r="AD205">
        <v>2035</v>
      </c>
    </row>
    <row r="206" spans="1:30">
      <c r="A206" t="s">
        <v>653</v>
      </c>
      <c r="B206" t="s">
        <v>654</v>
      </c>
      <c r="C206" t="s">
        <v>282</v>
      </c>
      <c r="D206" t="s">
        <v>769</v>
      </c>
      <c r="E206" t="s">
        <v>406</v>
      </c>
      <c r="F206">
        <v>2021</v>
      </c>
      <c r="G206" t="s">
        <v>151</v>
      </c>
      <c r="H206" t="s">
        <v>152</v>
      </c>
      <c r="I206">
        <v>9.3000000000000007</v>
      </c>
      <c r="J206" t="s">
        <v>81</v>
      </c>
      <c r="K206" t="s">
        <v>37</v>
      </c>
      <c r="L206" t="s">
        <v>37</v>
      </c>
      <c r="M206" t="s">
        <v>67</v>
      </c>
      <c r="N206" t="s">
        <v>499</v>
      </c>
      <c r="O206" t="s">
        <v>190</v>
      </c>
      <c r="P206" s="3">
        <v>74.22</v>
      </c>
      <c r="Q206" s="3">
        <v>48.75</v>
      </c>
      <c r="R206" s="4">
        <f t="shared" si="6"/>
        <v>0.34316895715440582</v>
      </c>
      <c r="S206">
        <v>36</v>
      </c>
      <c r="T206">
        <v>50</v>
      </c>
      <c r="U206" s="3">
        <f t="shared" si="7"/>
        <v>2671.92</v>
      </c>
      <c r="V206" t="s">
        <v>77</v>
      </c>
      <c r="W206" t="s">
        <v>107</v>
      </c>
      <c r="X206">
        <v>4.8</v>
      </c>
      <c r="Y206" t="s">
        <v>71</v>
      </c>
      <c r="Z206">
        <v>750</v>
      </c>
      <c r="AA206" t="s">
        <v>85</v>
      </c>
      <c r="AB206">
        <v>12</v>
      </c>
      <c r="AC206">
        <v>2025</v>
      </c>
      <c r="AD206">
        <v>2032</v>
      </c>
    </row>
    <row r="207" spans="1:30">
      <c r="A207" t="s">
        <v>655</v>
      </c>
      <c r="B207" t="s">
        <v>656</v>
      </c>
      <c r="C207" t="s">
        <v>148</v>
      </c>
      <c r="D207" t="s">
        <v>768</v>
      </c>
      <c r="E207" t="s">
        <v>165</v>
      </c>
      <c r="F207">
        <v>2002</v>
      </c>
      <c r="G207" t="s">
        <v>34</v>
      </c>
      <c r="H207" t="s">
        <v>80</v>
      </c>
      <c r="I207">
        <v>13.3</v>
      </c>
      <c r="J207" t="s">
        <v>81</v>
      </c>
      <c r="K207" t="s">
        <v>59</v>
      </c>
      <c r="L207" t="s">
        <v>50</v>
      </c>
      <c r="M207" t="s">
        <v>38</v>
      </c>
      <c r="N207" t="s">
        <v>657</v>
      </c>
      <c r="O207" t="s">
        <v>118</v>
      </c>
      <c r="P207" s="3">
        <v>185.16</v>
      </c>
      <c r="Q207" s="3">
        <v>133.13</v>
      </c>
      <c r="R207" s="4">
        <f t="shared" si="6"/>
        <v>0.28100021602938002</v>
      </c>
      <c r="S207">
        <v>1</v>
      </c>
      <c r="T207">
        <v>36</v>
      </c>
      <c r="U207" s="3">
        <f t="shared" si="7"/>
        <v>185.16</v>
      </c>
      <c r="V207" t="s">
        <v>41</v>
      </c>
      <c r="W207" t="s">
        <v>107</v>
      </c>
      <c r="X207">
        <v>3.4</v>
      </c>
      <c r="Y207" t="s">
        <v>43</v>
      </c>
      <c r="Z207">
        <v>750</v>
      </c>
      <c r="AA207" t="s">
        <v>44</v>
      </c>
      <c r="AB207">
        <v>16</v>
      </c>
      <c r="AC207">
        <v>2026</v>
      </c>
      <c r="AD207">
        <v>2038</v>
      </c>
    </row>
    <row r="208" spans="1:30">
      <c r="A208" t="s">
        <v>658</v>
      </c>
      <c r="B208" t="s">
        <v>659</v>
      </c>
      <c r="C208" t="s">
        <v>94</v>
      </c>
      <c r="D208" t="s">
        <v>779</v>
      </c>
      <c r="E208" t="s">
        <v>149</v>
      </c>
      <c r="F208">
        <v>2016</v>
      </c>
      <c r="G208" t="s">
        <v>134</v>
      </c>
      <c r="H208" t="s">
        <v>135</v>
      </c>
      <c r="I208">
        <v>13.9</v>
      </c>
      <c r="J208" t="s">
        <v>136</v>
      </c>
      <c r="K208" t="s">
        <v>37</v>
      </c>
      <c r="L208" t="s">
        <v>37</v>
      </c>
      <c r="M208" t="s">
        <v>59</v>
      </c>
      <c r="N208" t="s">
        <v>403</v>
      </c>
      <c r="O208" t="s">
        <v>138</v>
      </c>
      <c r="P208" s="3">
        <v>92.67</v>
      </c>
      <c r="Q208" s="3">
        <v>49.57</v>
      </c>
      <c r="R208" s="4">
        <f t="shared" si="6"/>
        <v>0.46509118377036796</v>
      </c>
      <c r="S208">
        <v>0</v>
      </c>
      <c r="T208">
        <v>50</v>
      </c>
      <c r="U208" s="3">
        <f t="shared" si="7"/>
        <v>0</v>
      </c>
      <c r="V208" t="s">
        <v>84</v>
      </c>
      <c r="W208" t="s">
        <v>70</v>
      </c>
      <c r="X208">
        <v>4.7</v>
      </c>
      <c r="Y208" t="s">
        <v>43</v>
      </c>
      <c r="Z208">
        <v>750</v>
      </c>
      <c r="AA208" t="s">
        <v>44</v>
      </c>
      <c r="AB208">
        <v>12</v>
      </c>
      <c r="AC208">
        <v>2022</v>
      </c>
      <c r="AD208">
        <v>2033</v>
      </c>
    </row>
    <row r="209" spans="1:30">
      <c r="A209" t="s">
        <v>660</v>
      </c>
      <c r="B209" t="s">
        <v>661</v>
      </c>
      <c r="C209" t="s">
        <v>47</v>
      </c>
      <c r="D209" t="s">
        <v>796</v>
      </c>
      <c r="E209" t="s">
        <v>64</v>
      </c>
      <c r="F209">
        <v>2011</v>
      </c>
      <c r="G209" t="s">
        <v>88</v>
      </c>
      <c r="H209" t="s">
        <v>152</v>
      </c>
      <c r="I209">
        <v>14.2</v>
      </c>
      <c r="J209" t="s">
        <v>81</v>
      </c>
      <c r="K209" t="s">
        <v>37</v>
      </c>
      <c r="L209" t="s">
        <v>37</v>
      </c>
      <c r="M209" t="s">
        <v>59</v>
      </c>
      <c r="N209" t="s">
        <v>422</v>
      </c>
      <c r="O209" t="s">
        <v>125</v>
      </c>
      <c r="P209" s="3">
        <v>48.28</v>
      </c>
      <c r="Q209" s="3">
        <v>25.34</v>
      </c>
      <c r="R209" s="4">
        <f t="shared" si="6"/>
        <v>0.47514498757249379</v>
      </c>
      <c r="S209">
        <v>36</v>
      </c>
      <c r="T209">
        <v>6</v>
      </c>
      <c r="U209" s="3">
        <f t="shared" si="7"/>
        <v>1738.08</v>
      </c>
      <c r="V209" t="s">
        <v>41</v>
      </c>
      <c r="W209" t="s">
        <v>70</v>
      </c>
      <c r="X209">
        <v>4.5</v>
      </c>
      <c r="Y209" t="s">
        <v>71</v>
      </c>
      <c r="Z209">
        <v>1500</v>
      </c>
      <c r="AA209" t="s">
        <v>44</v>
      </c>
      <c r="AB209">
        <v>12</v>
      </c>
      <c r="AC209">
        <v>2021</v>
      </c>
      <c r="AD209">
        <v>2030</v>
      </c>
    </row>
    <row r="210" spans="1:30">
      <c r="A210" t="s">
        <v>662</v>
      </c>
      <c r="B210" t="s">
        <v>663</v>
      </c>
      <c r="C210" t="s">
        <v>132</v>
      </c>
      <c r="D210" t="s">
        <v>761</v>
      </c>
      <c r="E210" t="s">
        <v>210</v>
      </c>
      <c r="F210">
        <v>2024</v>
      </c>
      <c r="G210" t="s">
        <v>34</v>
      </c>
      <c r="H210" t="s">
        <v>66</v>
      </c>
      <c r="I210">
        <v>10.3</v>
      </c>
      <c r="J210" t="s">
        <v>81</v>
      </c>
      <c r="K210" t="s">
        <v>59</v>
      </c>
      <c r="L210" t="s">
        <v>37</v>
      </c>
      <c r="M210" t="s">
        <v>38</v>
      </c>
      <c r="N210" t="s">
        <v>445</v>
      </c>
      <c r="O210" t="s">
        <v>40</v>
      </c>
      <c r="P210" s="3">
        <v>243.2</v>
      </c>
      <c r="Q210" s="3">
        <v>92.59</v>
      </c>
      <c r="R210" s="4">
        <f t="shared" si="6"/>
        <v>0.61928453947368423</v>
      </c>
      <c r="S210">
        <v>2</v>
      </c>
      <c r="T210">
        <v>24</v>
      </c>
      <c r="U210" s="3">
        <f t="shared" si="7"/>
        <v>486.4</v>
      </c>
      <c r="V210" t="s">
        <v>41</v>
      </c>
      <c r="W210" t="s">
        <v>70</v>
      </c>
      <c r="X210">
        <v>4.4000000000000004</v>
      </c>
      <c r="Y210" t="s">
        <v>43</v>
      </c>
      <c r="Z210">
        <v>750</v>
      </c>
      <c r="AA210" t="s">
        <v>44</v>
      </c>
      <c r="AB210">
        <v>16</v>
      </c>
      <c r="AC210">
        <v>2023</v>
      </c>
      <c r="AD210">
        <v>2037</v>
      </c>
    </row>
    <row r="211" spans="1:30">
      <c r="A211" t="s">
        <v>664</v>
      </c>
      <c r="B211" t="s">
        <v>665</v>
      </c>
      <c r="C211" t="s">
        <v>94</v>
      </c>
      <c r="D211" t="s">
        <v>774</v>
      </c>
      <c r="E211" t="s">
        <v>128</v>
      </c>
      <c r="F211">
        <v>2021</v>
      </c>
      <c r="G211" t="s">
        <v>151</v>
      </c>
      <c r="H211" t="s">
        <v>285</v>
      </c>
      <c r="I211">
        <v>12.5</v>
      </c>
      <c r="J211" t="s">
        <v>36</v>
      </c>
      <c r="K211" t="s">
        <v>37</v>
      </c>
      <c r="L211" t="s">
        <v>37</v>
      </c>
      <c r="M211" t="s">
        <v>67</v>
      </c>
      <c r="N211" t="s">
        <v>396</v>
      </c>
      <c r="O211" t="s">
        <v>154</v>
      </c>
      <c r="P211" s="3">
        <v>81.36</v>
      </c>
      <c r="Q211" s="3">
        <v>47.12</v>
      </c>
      <c r="R211" s="4">
        <f t="shared" si="6"/>
        <v>0.42084562438544743</v>
      </c>
      <c r="S211">
        <v>48</v>
      </c>
      <c r="T211">
        <v>24</v>
      </c>
      <c r="U211" s="3">
        <f t="shared" si="7"/>
        <v>3905.2799999999997</v>
      </c>
      <c r="V211" t="s">
        <v>41</v>
      </c>
      <c r="W211" t="s">
        <v>53</v>
      </c>
      <c r="X211">
        <v>4.8</v>
      </c>
      <c r="Y211" t="s">
        <v>43</v>
      </c>
      <c r="Z211">
        <v>375</v>
      </c>
      <c r="AA211" t="s">
        <v>44</v>
      </c>
      <c r="AB211">
        <v>8</v>
      </c>
      <c r="AC211">
        <v>2026</v>
      </c>
      <c r="AD211">
        <v>2033</v>
      </c>
    </row>
    <row r="212" spans="1:30">
      <c r="A212" t="s">
        <v>666</v>
      </c>
      <c r="B212" t="s">
        <v>667</v>
      </c>
      <c r="C212" t="s">
        <v>115</v>
      </c>
      <c r="D212" t="s">
        <v>769</v>
      </c>
      <c r="E212" t="s">
        <v>274</v>
      </c>
      <c r="F212">
        <v>2009</v>
      </c>
      <c r="G212" t="s">
        <v>34</v>
      </c>
      <c r="H212" t="s">
        <v>58</v>
      </c>
      <c r="I212">
        <v>13.7</v>
      </c>
      <c r="J212" t="s">
        <v>81</v>
      </c>
      <c r="K212" t="s">
        <v>37</v>
      </c>
      <c r="L212" t="s">
        <v>59</v>
      </c>
      <c r="M212" t="s">
        <v>38</v>
      </c>
      <c r="N212" t="s">
        <v>668</v>
      </c>
      <c r="O212" t="s">
        <v>118</v>
      </c>
      <c r="P212" s="3">
        <v>651.97</v>
      </c>
      <c r="Q212" s="3">
        <v>247.85</v>
      </c>
      <c r="R212" s="4">
        <f t="shared" si="6"/>
        <v>0.6198444713713821</v>
      </c>
      <c r="S212">
        <v>120</v>
      </c>
      <c r="T212">
        <v>36</v>
      </c>
      <c r="U212" s="3">
        <f t="shared" si="7"/>
        <v>78236.400000000009</v>
      </c>
      <c r="V212" t="s">
        <v>41</v>
      </c>
      <c r="W212" t="s">
        <v>102</v>
      </c>
      <c r="X212">
        <v>4.9000000000000004</v>
      </c>
      <c r="Y212" t="s">
        <v>43</v>
      </c>
      <c r="Z212">
        <v>750</v>
      </c>
      <c r="AA212" t="s">
        <v>61</v>
      </c>
      <c r="AB212">
        <v>8</v>
      </c>
      <c r="AC212">
        <v>2025</v>
      </c>
      <c r="AD212">
        <v>2031</v>
      </c>
    </row>
    <row r="213" spans="1:30">
      <c r="A213" t="s">
        <v>669</v>
      </c>
      <c r="B213" t="s">
        <v>670</v>
      </c>
      <c r="C213" t="s">
        <v>56</v>
      </c>
      <c r="D213" t="s">
        <v>788</v>
      </c>
      <c r="E213" t="s">
        <v>75</v>
      </c>
      <c r="F213">
        <v>2019</v>
      </c>
      <c r="G213" t="s">
        <v>88</v>
      </c>
      <c r="H213" t="s">
        <v>193</v>
      </c>
      <c r="I213">
        <v>9</v>
      </c>
      <c r="J213" t="s">
        <v>81</v>
      </c>
      <c r="K213" t="s">
        <v>50</v>
      </c>
      <c r="L213" t="s">
        <v>37</v>
      </c>
      <c r="M213" t="s">
        <v>59</v>
      </c>
      <c r="N213" t="s">
        <v>318</v>
      </c>
      <c r="O213" t="s">
        <v>195</v>
      </c>
      <c r="P213" s="3">
        <v>99.23</v>
      </c>
      <c r="Q213" s="3">
        <v>39.340000000000003</v>
      </c>
      <c r="R213" s="4">
        <f t="shared" si="6"/>
        <v>0.60354731432026598</v>
      </c>
      <c r="S213">
        <v>12</v>
      </c>
      <c r="T213">
        <v>36</v>
      </c>
      <c r="U213" s="3">
        <f t="shared" si="7"/>
        <v>1190.76</v>
      </c>
      <c r="V213" t="s">
        <v>77</v>
      </c>
      <c r="W213" t="s">
        <v>42</v>
      </c>
      <c r="X213">
        <v>5</v>
      </c>
      <c r="Y213" t="s">
        <v>71</v>
      </c>
      <c r="Z213">
        <v>750</v>
      </c>
      <c r="AA213" t="s">
        <v>85</v>
      </c>
      <c r="AB213">
        <v>14</v>
      </c>
      <c r="AC213">
        <v>2027</v>
      </c>
      <c r="AD213">
        <v>2032</v>
      </c>
    </row>
    <row r="214" spans="1:30">
      <c r="A214" t="s">
        <v>671</v>
      </c>
      <c r="B214" t="s">
        <v>672</v>
      </c>
      <c r="C214" t="s">
        <v>148</v>
      </c>
      <c r="D214" t="s">
        <v>771</v>
      </c>
      <c r="E214" t="s">
        <v>249</v>
      </c>
      <c r="F214">
        <v>2014</v>
      </c>
      <c r="G214" t="s">
        <v>134</v>
      </c>
      <c r="H214" t="s">
        <v>673</v>
      </c>
      <c r="I214">
        <v>15.6</v>
      </c>
      <c r="J214" t="s">
        <v>136</v>
      </c>
      <c r="K214" t="s">
        <v>59</v>
      </c>
      <c r="L214" t="s">
        <v>37</v>
      </c>
      <c r="M214" t="s">
        <v>59</v>
      </c>
      <c r="N214" t="s">
        <v>619</v>
      </c>
      <c r="O214" t="s">
        <v>138</v>
      </c>
      <c r="P214" s="3">
        <v>319.62</v>
      </c>
      <c r="Q214" s="3">
        <v>181.98</v>
      </c>
      <c r="R214" s="4">
        <f t="shared" si="6"/>
        <v>0.43063638070208377</v>
      </c>
      <c r="S214">
        <v>72</v>
      </c>
      <c r="T214">
        <v>24</v>
      </c>
      <c r="U214" s="3">
        <f t="shared" si="7"/>
        <v>23012.639999999999</v>
      </c>
      <c r="V214" t="s">
        <v>41</v>
      </c>
      <c r="W214" t="s">
        <v>70</v>
      </c>
      <c r="X214">
        <v>4.3</v>
      </c>
      <c r="Y214" t="s">
        <v>43</v>
      </c>
      <c r="Z214">
        <v>1500</v>
      </c>
      <c r="AA214" t="s">
        <v>44</v>
      </c>
      <c r="AB214">
        <v>12</v>
      </c>
      <c r="AC214">
        <v>2027</v>
      </c>
      <c r="AD214">
        <v>2030</v>
      </c>
    </row>
    <row r="215" spans="1:30">
      <c r="A215" t="s">
        <v>674</v>
      </c>
      <c r="B215" t="s">
        <v>675</v>
      </c>
      <c r="C215" t="s">
        <v>121</v>
      </c>
      <c r="D215" t="s">
        <v>770</v>
      </c>
      <c r="E215" t="s">
        <v>165</v>
      </c>
      <c r="F215">
        <v>2015</v>
      </c>
      <c r="G215" t="s">
        <v>34</v>
      </c>
      <c r="H215" t="s">
        <v>96</v>
      </c>
      <c r="I215">
        <v>9</v>
      </c>
      <c r="J215" t="s">
        <v>36</v>
      </c>
      <c r="K215" t="s">
        <v>59</v>
      </c>
      <c r="L215" t="s">
        <v>59</v>
      </c>
      <c r="M215" t="s">
        <v>38</v>
      </c>
      <c r="N215" t="s">
        <v>97</v>
      </c>
      <c r="O215" t="s">
        <v>118</v>
      </c>
      <c r="P215" s="3">
        <v>129.1</v>
      </c>
      <c r="Q215" s="3">
        <v>61.57</v>
      </c>
      <c r="R215" s="4">
        <f t="shared" si="6"/>
        <v>0.52308288148721926</v>
      </c>
      <c r="S215">
        <v>5</v>
      </c>
      <c r="T215">
        <v>6</v>
      </c>
      <c r="U215" s="3">
        <f t="shared" si="7"/>
        <v>645.5</v>
      </c>
      <c r="V215" t="s">
        <v>41</v>
      </c>
      <c r="W215" t="s">
        <v>102</v>
      </c>
      <c r="X215">
        <v>3.5</v>
      </c>
      <c r="Y215" t="s">
        <v>71</v>
      </c>
      <c r="Z215">
        <v>750</v>
      </c>
      <c r="AA215" t="s">
        <v>44</v>
      </c>
      <c r="AB215">
        <v>10</v>
      </c>
      <c r="AC215">
        <v>2023</v>
      </c>
      <c r="AD215">
        <v>2026</v>
      </c>
    </row>
    <row r="216" spans="1:30">
      <c r="A216" t="s">
        <v>676</v>
      </c>
      <c r="B216" t="s">
        <v>677</v>
      </c>
      <c r="C216" t="s">
        <v>56</v>
      </c>
      <c r="D216" t="s">
        <v>777</v>
      </c>
      <c r="E216" t="s">
        <v>105</v>
      </c>
      <c r="F216">
        <v>1998</v>
      </c>
      <c r="G216" t="s">
        <v>88</v>
      </c>
      <c r="H216" t="s">
        <v>161</v>
      </c>
      <c r="I216">
        <v>11</v>
      </c>
      <c r="J216" t="s">
        <v>36</v>
      </c>
      <c r="K216" t="s">
        <v>50</v>
      </c>
      <c r="L216" t="s">
        <v>37</v>
      </c>
      <c r="M216" t="s">
        <v>59</v>
      </c>
      <c r="N216" t="s">
        <v>678</v>
      </c>
      <c r="O216" t="s">
        <v>125</v>
      </c>
      <c r="P216" s="3">
        <v>266.08</v>
      </c>
      <c r="Q216" s="3">
        <v>107.78</v>
      </c>
      <c r="R216" s="4">
        <f t="shared" si="6"/>
        <v>0.59493385447985569</v>
      </c>
      <c r="S216">
        <v>48</v>
      </c>
      <c r="T216">
        <v>12</v>
      </c>
      <c r="U216" s="3">
        <f t="shared" si="7"/>
        <v>12771.84</v>
      </c>
      <c r="V216" t="s">
        <v>77</v>
      </c>
      <c r="W216" t="s">
        <v>107</v>
      </c>
      <c r="X216">
        <v>3.8</v>
      </c>
      <c r="Y216" t="s">
        <v>43</v>
      </c>
      <c r="Z216">
        <v>750</v>
      </c>
      <c r="AA216" t="s">
        <v>44</v>
      </c>
      <c r="AB216">
        <v>8</v>
      </c>
      <c r="AC216">
        <v>2028</v>
      </c>
      <c r="AD216">
        <v>2033</v>
      </c>
    </row>
    <row r="217" spans="1:30">
      <c r="A217" t="s">
        <v>679</v>
      </c>
      <c r="B217" t="s">
        <v>680</v>
      </c>
      <c r="C217" t="s">
        <v>32</v>
      </c>
      <c r="D217" t="s">
        <v>789</v>
      </c>
      <c r="E217" t="s">
        <v>160</v>
      </c>
      <c r="F217">
        <v>2005</v>
      </c>
      <c r="G217" t="s">
        <v>88</v>
      </c>
      <c r="H217" t="s">
        <v>193</v>
      </c>
      <c r="I217">
        <v>12.3</v>
      </c>
      <c r="J217" t="s">
        <v>81</v>
      </c>
      <c r="K217" t="s">
        <v>50</v>
      </c>
      <c r="L217" t="s">
        <v>37</v>
      </c>
      <c r="M217" t="s">
        <v>59</v>
      </c>
      <c r="N217" t="s">
        <v>170</v>
      </c>
      <c r="O217" t="s">
        <v>125</v>
      </c>
      <c r="P217" s="3">
        <v>79.83</v>
      </c>
      <c r="Q217" s="3">
        <v>47.45</v>
      </c>
      <c r="R217" s="4">
        <f t="shared" si="6"/>
        <v>0.40561192534135032</v>
      </c>
      <c r="S217">
        <v>36</v>
      </c>
      <c r="T217">
        <v>12</v>
      </c>
      <c r="U217" s="3">
        <f t="shared" si="7"/>
        <v>2873.88</v>
      </c>
      <c r="V217" t="s">
        <v>41</v>
      </c>
      <c r="W217" t="s">
        <v>70</v>
      </c>
      <c r="X217">
        <v>4.7</v>
      </c>
      <c r="Y217" t="s">
        <v>43</v>
      </c>
      <c r="Z217">
        <v>750</v>
      </c>
      <c r="AA217" t="s">
        <v>61</v>
      </c>
      <c r="AB217">
        <v>10</v>
      </c>
      <c r="AC217">
        <v>2023</v>
      </c>
      <c r="AD217">
        <v>2035</v>
      </c>
    </row>
    <row r="218" spans="1:30">
      <c r="A218" t="s">
        <v>681</v>
      </c>
      <c r="B218" t="s">
        <v>682</v>
      </c>
      <c r="C218" t="s">
        <v>47</v>
      </c>
      <c r="D218" t="s">
        <v>793</v>
      </c>
      <c r="E218" t="s">
        <v>317</v>
      </c>
      <c r="F218">
        <v>2011</v>
      </c>
      <c r="G218" t="s">
        <v>34</v>
      </c>
      <c r="H218" t="s">
        <v>242</v>
      </c>
      <c r="I218">
        <v>14.4</v>
      </c>
      <c r="J218" t="s">
        <v>36</v>
      </c>
      <c r="K218" t="s">
        <v>50</v>
      </c>
      <c r="L218" t="s">
        <v>50</v>
      </c>
      <c r="M218" t="s">
        <v>38</v>
      </c>
      <c r="N218" t="s">
        <v>39</v>
      </c>
      <c r="O218" t="s">
        <v>52</v>
      </c>
      <c r="P218" s="3">
        <v>136.87</v>
      </c>
      <c r="Q218" s="3">
        <v>68.89</v>
      </c>
      <c r="R218" s="4">
        <f t="shared" si="6"/>
        <v>0.49667567765032516</v>
      </c>
      <c r="S218">
        <v>48</v>
      </c>
      <c r="T218">
        <v>36</v>
      </c>
      <c r="U218" s="3">
        <f t="shared" si="7"/>
        <v>6569.76</v>
      </c>
      <c r="V218" t="s">
        <v>41</v>
      </c>
      <c r="W218" t="s">
        <v>42</v>
      </c>
      <c r="X218">
        <v>3.9</v>
      </c>
      <c r="Y218" t="s">
        <v>71</v>
      </c>
      <c r="Z218">
        <v>375</v>
      </c>
      <c r="AA218" t="s">
        <v>61</v>
      </c>
      <c r="AB218">
        <v>12</v>
      </c>
      <c r="AC218">
        <v>2026</v>
      </c>
      <c r="AD218">
        <v>2038</v>
      </c>
    </row>
    <row r="219" spans="1:30">
      <c r="A219" t="s">
        <v>683</v>
      </c>
      <c r="B219" t="s">
        <v>684</v>
      </c>
      <c r="C219" t="s">
        <v>148</v>
      </c>
      <c r="D219" t="s">
        <v>792</v>
      </c>
      <c r="E219" t="s">
        <v>75</v>
      </c>
      <c r="F219">
        <v>2023</v>
      </c>
      <c r="G219" t="s">
        <v>151</v>
      </c>
      <c r="H219" t="s">
        <v>285</v>
      </c>
      <c r="I219">
        <v>14.3</v>
      </c>
      <c r="J219" t="s">
        <v>36</v>
      </c>
      <c r="K219" t="s">
        <v>37</v>
      </c>
      <c r="L219" t="s">
        <v>37</v>
      </c>
      <c r="M219" t="s">
        <v>67</v>
      </c>
      <c r="N219" t="s">
        <v>499</v>
      </c>
      <c r="O219" t="s">
        <v>154</v>
      </c>
      <c r="P219" s="3">
        <v>178.4</v>
      </c>
      <c r="Q219" s="3">
        <v>106.8</v>
      </c>
      <c r="R219" s="4">
        <f t="shared" si="6"/>
        <v>0.40134529147982068</v>
      </c>
      <c r="S219">
        <v>600</v>
      </c>
      <c r="T219">
        <v>12</v>
      </c>
      <c r="U219" s="3">
        <f t="shared" si="7"/>
        <v>107040</v>
      </c>
      <c r="V219" t="s">
        <v>77</v>
      </c>
      <c r="W219" t="s">
        <v>70</v>
      </c>
      <c r="X219">
        <v>3.2</v>
      </c>
      <c r="Y219" t="s">
        <v>43</v>
      </c>
      <c r="Z219">
        <v>750</v>
      </c>
      <c r="AA219" t="s">
        <v>44</v>
      </c>
      <c r="AB219">
        <v>10</v>
      </c>
      <c r="AC219">
        <v>2028</v>
      </c>
      <c r="AD219">
        <v>2037</v>
      </c>
    </row>
    <row r="220" spans="1:30">
      <c r="A220" t="s">
        <v>685</v>
      </c>
      <c r="B220" t="s">
        <v>686</v>
      </c>
      <c r="C220" t="s">
        <v>141</v>
      </c>
      <c r="D220" t="s">
        <v>791</v>
      </c>
      <c r="E220" t="s">
        <v>215</v>
      </c>
      <c r="F220">
        <v>2000</v>
      </c>
      <c r="G220" t="s">
        <v>34</v>
      </c>
      <c r="H220" t="s">
        <v>49</v>
      </c>
      <c r="I220">
        <v>10.7</v>
      </c>
      <c r="J220" t="s">
        <v>81</v>
      </c>
      <c r="K220" t="s">
        <v>50</v>
      </c>
      <c r="L220" t="s">
        <v>50</v>
      </c>
      <c r="M220" t="s">
        <v>38</v>
      </c>
      <c r="N220" t="s">
        <v>246</v>
      </c>
      <c r="O220" t="s">
        <v>40</v>
      </c>
      <c r="P220" s="3">
        <v>44.44</v>
      </c>
      <c r="Q220" s="3">
        <v>23.97</v>
      </c>
      <c r="R220" s="4">
        <f t="shared" si="6"/>
        <v>0.46062106210621062</v>
      </c>
      <c r="S220">
        <v>0</v>
      </c>
      <c r="T220">
        <v>12</v>
      </c>
      <c r="U220" s="3">
        <f t="shared" si="7"/>
        <v>0</v>
      </c>
      <c r="V220" t="s">
        <v>84</v>
      </c>
      <c r="W220" t="s">
        <v>107</v>
      </c>
      <c r="X220">
        <v>3.8</v>
      </c>
      <c r="Y220" t="s">
        <v>43</v>
      </c>
      <c r="Z220">
        <v>750</v>
      </c>
      <c r="AA220" t="s">
        <v>61</v>
      </c>
      <c r="AB220">
        <v>16</v>
      </c>
      <c r="AC220">
        <v>2025</v>
      </c>
      <c r="AD220">
        <v>2029</v>
      </c>
    </row>
    <row r="221" spans="1:30">
      <c r="A221" t="s">
        <v>687</v>
      </c>
      <c r="B221" t="s">
        <v>688</v>
      </c>
      <c r="C221" t="s">
        <v>47</v>
      </c>
      <c r="D221" t="s">
        <v>759</v>
      </c>
      <c r="E221" t="s">
        <v>48</v>
      </c>
      <c r="F221">
        <v>2002</v>
      </c>
      <c r="G221" t="s">
        <v>88</v>
      </c>
      <c r="H221" t="s">
        <v>89</v>
      </c>
      <c r="I221">
        <v>8.1</v>
      </c>
      <c r="J221" t="s">
        <v>36</v>
      </c>
      <c r="K221" t="s">
        <v>50</v>
      </c>
      <c r="L221" t="s">
        <v>37</v>
      </c>
      <c r="M221" t="s">
        <v>59</v>
      </c>
      <c r="N221" t="s">
        <v>593</v>
      </c>
      <c r="O221" t="s">
        <v>201</v>
      </c>
      <c r="P221" s="3">
        <v>56.02</v>
      </c>
      <c r="Q221" s="3">
        <v>40.299999999999997</v>
      </c>
      <c r="R221" s="4">
        <f t="shared" si="6"/>
        <v>0.28061406640485548</v>
      </c>
      <c r="S221">
        <v>350</v>
      </c>
      <c r="T221">
        <v>6</v>
      </c>
      <c r="U221" s="3">
        <f t="shared" si="7"/>
        <v>19607</v>
      </c>
      <c r="V221" t="s">
        <v>41</v>
      </c>
      <c r="W221" t="s">
        <v>107</v>
      </c>
      <c r="X221">
        <v>3.2</v>
      </c>
      <c r="Y221" t="s">
        <v>43</v>
      </c>
      <c r="Z221">
        <v>750</v>
      </c>
      <c r="AA221" t="s">
        <v>85</v>
      </c>
      <c r="AB221">
        <v>16</v>
      </c>
      <c r="AC221">
        <v>2028</v>
      </c>
      <c r="AD221">
        <v>2035</v>
      </c>
    </row>
    <row r="222" spans="1:30">
      <c r="A222" t="s">
        <v>689</v>
      </c>
      <c r="B222" t="s">
        <v>690</v>
      </c>
      <c r="C222" t="s">
        <v>132</v>
      </c>
      <c r="D222" t="s">
        <v>792</v>
      </c>
      <c r="E222" t="s">
        <v>95</v>
      </c>
      <c r="F222">
        <v>2014</v>
      </c>
      <c r="G222" t="s">
        <v>34</v>
      </c>
      <c r="H222" t="s">
        <v>35</v>
      </c>
      <c r="I222">
        <v>14.3</v>
      </c>
      <c r="J222" t="s">
        <v>36</v>
      </c>
      <c r="K222" t="s">
        <v>50</v>
      </c>
      <c r="L222" t="s">
        <v>37</v>
      </c>
      <c r="M222" t="s">
        <v>38</v>
      </c>
      <c r="N222" t="s">
        <v>487</v>
      </c>
      <c r="O222" t="s">
        <v>40</v>
      </c>
      <c r="P222" s="3">
        <v>1650.49</v>
      </c>
      <c r="Q222" s="3">
        <v>1181.97</v>
      </c>
      <c r="R222" s="4">
        <f t="shared" si="6"/>
        <v>0.28386721519064034</v>
      </c>
      <c r="S222">
        <v>36</v>
      </c>
      <c r="T222">
        <v>12</v>
      </c>
      <c r="U222" s="3">
        <f t="shared" si="7"/>
        <v>59417.64</v>
      </c>
      <c r="V222" t="s">
        <v>41</v>
      </c>
      <c r="W222" t="s">
        <v>42</v>
      </c>
      <c r="X222">
        <v>4.4000000000000004</v>
      </c>
      <c r="Y222" t="s">
        <v>43</v>
      </c>
      <c r="Z222">
        <v>375</v>
      </c>
      <c r="AA222" t="s">
        <v>44</v>
      </c>
      <c r="AB222">
        <v>12</v>
      </c>
      <c r="AC222">
        <v>2023</v>
      </c>
      <c r="AD222">
        <v>2029</v>
      </c>
    </row>
    <row r="223" spans="1:30">
      <c r="A223" t="s">
        <v>691</v>
      </c>
      <c r="B223" t="s">
        <v>692</v>
      </c>
      <c r="C223" t="s">
        <v>148</v>
      </c>
      <c r="D223" t="s">
        <v>755</v>
      </c>
      <c r="E223" t="s">
        <v>361</v>
      </c>
      <c r="F223">
        <v>2016</v>
      </c>
      <c r="G223" t="s">
        <v>88</v>
      </c>
      <c r="H223" t="s">
        <v>181</v>
      </c>
      <c r="I223">
        <v>15.2</v>
      </c>
      <c r="J223" t="s">
        <v>36</v>
      </c>
      <c r="K223" t="s">
        <v>59</v>
      </c>
      <c r="L223" t="s">
        <v>37</v>
      </c>
      <c r="M223" t="s">
        <v>59</v>
      </c>
      <c r="N223" t="s">
        <v>432</v>
      </c>
      <c r="O223" t="s">
        <v>91</v>
      </c>
      <c r="P223" s="3">
        <v>114.99</v>
      </c>
      <c r="Q223" s="3">
        <v>62.84</v>
      </c>
      <c r="R223" s="4">
        <f t="shared" si="6"/>
        <v>0.45351769719106005</v>
      </c>
      <c r="S223">
        <v>120</v>
      </c>
      <c r="T223">
        <v>24</v>
      </c>
      <c r="U223" s="3">
        <f t="shared" si="7"/>
        <v>13798.8</v>
      </c>
      <c r="V223" t="s">
        <v>41</v>
      </c>
      <c r="W223" t="s">
        <v>42</v>
      </c>
      <c r="X223">
        <v>4.0999999999999996</v>
      </c>
      <c r="Y223" t="s">
        <v>71</v>
      </c>
      <c r="Z223">
        <v>750</v>
      </c>
      <c r="AA223" t="s">
        <v>85</v>
      </c>
      <c r="AB223">
        <v>10</v>
      </c>
      <c r="AC223">
        <v>2023</v>
      </c>
      <c r="AD223">
        <v>2038</v>
      </c>
    </row>
    <row r="224" spans="1:30">
      <c r="A224" t="s">
        <v>693</v>
      </c>
      <c r="B224" t="s">
        <v>694</v>
      </c>
      <c r="C224" t="s">
        <v>177</v>
      </c>
      <c r="D224" t="s">
        <v>793</v>
      </c>
      <c r="E224" t="s">
        <v>116</v>
      </c>
      <c r="F224">
        <v>2015</v>
      </c>
      <c r="G224" t="s">
        <v>88</v>
      </c>
      <c r="H224" t="s">
        <v>181</v>
      </c>
      <c r="I224">
        <v>12.1</v>
      </c>
      <c r="J224" t="s">
        <v>36</v>
      </c>
      <c r="K224" t="s">
        <v>50</v>
      </c>
      <c r="L224" t="s">
        <v>37</v>
      </c>
      <c r="M224" t="s">
        <v>59</v>
      </c>
      <c r="N224" t="s">
        <v>390</v>
      </c>
      <c r="O224" t="s">
        <v>195</v>
      </c>
      <c r="P224" s="3">
        <v>165.48</v>
      </c>
      <c r="Q224" s="3">
        <v>93.37</v>
      </c>
      <c r="R224" s="4">
        <f t="shared" si="6"/>
        <v>0.43576262992506642</v>
      </c>
      <c r="S224">
        <v>200</v>
      </c>
      <c r="T224">
        <v>12</v>
      </c>
      <c r="U224" s="3">
        <f t="shared" si="7"/>
        <v>33096</v>
      </c>
      <c r="V224" t="s">
        <v>41</v>
      </c>
      <c r="W224" t="s">
        <v>42</v>
      </c>
      <c r="X224">
        <v>3.6</v>
      </c>
      <c r="Y224" t="s">
        <v>43</v>
      </c>
      <c r="Z224">
        <v>750</v>
      </c>
      <c r="AA224" t="s">
        <v>85</v>
      </c>
      <c r="AB224">
        <v>16</v>
      </c>
      <c r="AC224">
        <v>2028</v>
      </c>
      <c r="AD224">
        <v>2039</v>
      </c>
    </row>
    <row r="225" spans="1:30">
      <c r="A225" t="s">
        <v>695</v>
      </c>
      <c r="B225" t="s">
        <v>696</v>
      </c>
      <c r="C225" t="s">
        <v>141</v>
      </c>
      <c r="D225" t="s">
        <v>758</v>
      </c>
      <c r="E225" t="s">
        <v>48</v>
      </c>
      <c r="F225">
        <v>2015</v>
      </c>
      <c r="G225" t="s">
        <v>34</v>
      </c>
      <c r="H225" t="s">
        <v>80</v>
      </c>
      <c r="I225">
        <v>13</v>
      </c>
      <c r="J225" t="s">
        <v>36</v>
      </c>
      <c r="K225" t="s">
        <v>59</v>
      </c>
      <c r="L225" t="s">
        <v>59</v>
      </c>
      <c r="M225" t="s">
        <v>38</v>
      </c>
      <c r="N225" t="s">
        <v>246</v>
      </c>
      <c r="O225" t="s">
        <v>52</v>
      </c>
      <c r="P225" s="3">
        <v>228.92</v>
      </c>
      <c r="Q225" s="3">
        <v>127.31</v>
      </c>
      <c r="R225" s="4">
        <f t="shared" si="6"/>
        <v>0.44386685304910006</v>
      </c>
      <c r="S225">
        <v>12</v>
      </c>
      <c r="T225">
        <v>50</v>
      </c>
      <c r="U225" s="3">
        <f t="shared" si="7"/>
        <v>2747.04</v>
      </c>
      <c r="V225" t="s">
        <v>77</v>
      </c>
      <c r="W225" t="s">
        <v>102</v>
      </c>
      <c r="X225">
        <v>4.3</v>
      </c>
      <c r="Y225" t="s">
        <v>43</v>
      </c>
      <c r="Z225">
        <v>750</v>
      </c>
      <c r="AA225" t="s">
        <v>44</v>
      </c>
      <c r="AB225">
        <v>14</v>
      </c>
      <c r="AC225">
        <v>2024</v>
      </c>
      <c r="AD225">
        <v>2030</v>
      </c>
    </row>
    <row r="226" spans="1:30">
      <c r="A226" t="s">
        <v>697</v>
      </c>
      <c r="B226" t="s">
        <v>698</v>
      </c>
      <c r="C226" t="s">
        <v>32</v>
      </c>
      <c r="D226" t="s">
        <v>759</v>
      </c>
      <c r="E226" t="s">
        <v>185</v>
      </c>
      <c r="F226">
        <v>2015</v>
      </c>
      <c r="G226" t="s">
        <v>88</v>
      </c>
      <c r="H226" t="s">
        <v>193</v>
      </c>
      <c r="I226">
        <v>14.9</v>
      </c>
      <c r="J226" t="s">
        <v>36</v>
      </c>
      <c r="K226" t="s">
        <v>50</v>
      </c>
      <c r="L226" t="s">
        <v>37</v>
      </c>
      <c r="M226" t="s">
        <v>59</v>
      </c>
      <c r="N226" t="s">
        <v>699</v>
      </c>
      <c r="O226" t="s">
        <v>201</v>
      </c>
      <c r="P226" s="3">
        <v>666.83</v>
      </c>
      <c r="Q226" s="3">
        <v>366.17</v>
      </c>
      <c r="R226" s="4">
        <f t="shared" si="6"/>
        <v>0.45087953451404406</v>
      </c>
      <c r="S226">
        <v>8</v>
      </c>
      <c r="T226">
        <v>6</v>
      </c>
      <c r="U226" s="3">
        <f t="shared" si="7"/>
        <v>5334.64</v>
      </c>
      <c r="V226" t="s">
        <v>77</v>
      </c>
      <c r="W226" t="s">
        <v>42</v>
      </c>
      <c r="X226">
        <v>3.5</v>
      </c>
      <c r="Y226" t="s">
        <v>43</v>
      </c>
      <c r="Z226">
        <v>750</v>
      </c>
      <c r="AA226" t="s">
        <v>44</v>
      </c>
      <c r="AB226">
        <v>12</v>
      </c>
      <c r="AC226">
        <v>2022</v>
      </c>
      <c r="AD226">
        <v>2028</v>
      </c>
    </row>
    <row r="227" spans="1:30">
      <c r="A227" t="s">
        <v>700</v>
      </c>
      <c r="B227" t="s">
        <v>701</v>
      </c>
      <c r="C227" t="s">
        <v>121</v>
      </c>
      <c r="D227" t="s">
        <v>793</v>
      </c>
      <c r="E227" t="s">
        <v>165</v>
      </c>
      <c r="F227">
        <v>2004</v>
      </c>
      <c r="G227" t="s">
        <v>88</v>
      </c>
      <c r="H227" t="s">
        <v>152</v>
      </c>
      <c r="I227">
        <v>15.4</v>
      </c>
      <c r="J227" t="s">
        <v>36</v>
      </c>
      <c r="K227" t="s">
        <v>37</v>
      </c>
      <c r="L227" t="s">
        <v>37</v>
      </c>
      <c r="M227" t="s">
        <v>59</v>
      </c>
      <c r="N227" t="s">
        <v>553</v>
      </c>
      <c r="O227" t="s">
        <v>125</v>
      </c>
      <c r="P227" s="3">
        <v>30.51</v>
      </c>
      <c r="Q227" s="3">
        <v>20.22</v>
      </c>
      <c r="R227" s="4">
        <f t="shared" si="6"/>
        <v>0.3372664700098329</v>
      </c>
      <c r="S227">
        <v>24</v>
      </c>
      <c r="T227">
        <v>24</v>
      </c>
      <c r="U227" s="3">
        <f t="shared" si="7"/>
        <v>732.24</v>
      </c>
      <c r="V227" t="s">
        <v>41</v>
      </c>
      <c r="W227" t="s">
        <v>42</v>
      </c>
      <c r="X227">
        <v>4.5999999999999996</v>
      </c>
      <c r="Y227" t="s">
        <v>43</v>
      </c>
      <c r="Z227">
        <v>1500</v>
      </c>
      <c r="AA227" t="s">
        <v>61</v>
      </c>
      <c r="AB227">
        <v>12</v>
      </c>
      <c r="AC227">
        <v>2027</v>
      </c>
      <c r="AD227">
        <v>2042</v>
      </c>
    </row>
    <row r="228" spans="1:30">
      <c r="A228" t="s">
        <v>702</v>
      </c>
      <c r="B228" t="s">
        <v>703</v>
      </c>
      <c r="C228" t="s">
        <v>115</v>
      </c>
      <c r="D228" t="s">
        <v>791</v>
      </c>
      <c r="E228" t="s">
        <v>105</v>
      </c>
      <c r="F228">
        <v>2010</v>
      </c>
      <c r="G228" t="s">
        <v>65</v>
      </c>
      <c r="H228" t="s">
        <v>80</v>
      </c>
      <c r="I228">
        <v>12.4</v>
      </c>
      <c r="J228" t="s">
        <v>36</v>
      </c>
      <c r="K228" t="s">
        <v>59</v>
      </c>
      <c r="L228" t="s">
        <v>37</v>
      </c>
      <c r="M228" t="s">
        <v>67</v>
      </c>
      <c r="N228" t="s">
        <v>537</v>
      </c>
      <c r="O228" t="s">
        <v>83</v>
      </c>
      <c r="P228" s="3">
        <v>122.34</v>
      </c>
      <c r="Q228" s="3">
        <v>66.44</v>
      </c>
      <c r="R228" s="4">
        <f t="shared" si="6"/>
        <v>0.45692332842896849</v>
      </c>
      <c r="S228">
        <v>72</v>
      </c>
      <c r="T228">
        <v>50</v>
      </c>
      <c r="U228" s="3">
        <f t="shared" si="7"/>
        <v>8808.48</v>
      </c>
      <c r="V228" t="s">
        <v>41</v>
      </c>
      <c r="W228" t="s">
        <v>53</v>
      </c>
      <c r="X228">
        <v>3.9</v>
      </c>
      <c r="Y228" t="s">
        <v>43</v>
      </c>
      <c r="Z228">
        <v>750</v>
      </c>
      <c r="AA228" t="s">
        <v>85</v>
      </c>
      <c r="AB228">
        <v>8</v>
      </c>
      <c r="AC228">
        <v>2025</v>
      </c>
      <c r="AD228">
        <v>2039</v>
      </c>
    </row>
    <row r="229" spans="1:30">
      <c r="A229" t="s">
        <v>704</v>
      </c>
      <c r="B229" t="s">
        <v>705</v>
      </c>
      <c r="C229" t="s">
        <v>177</v>
      </c>
      <c r="D229" t="s">
        <v>765</v>
      </c>
      <c r="E229" t="s">
        <v>142</v>
      </c>
      <c r="F229">
        <v>2000</v>
      </c>
      <c r="G229" t="s">
        <v>34</v>
      </c>
      <c r="H229" t="s">
        <v>111</v>
      </c>
      <c r="I229">
        <v>10.7</v>
      </c>
      <c r="J229" t="s">
        <v>36</v>
      </c>
      <c r="K229" t="s">
        <v>50</v>
      </c>
      <c r="L229" t="s">
        <v>59</v>
      </c>
      <c r="M229" t="s">
        <v>38</v>
      </c>
      <c r="N229" t="s">
        <v>384</v>
      </c>
      <c r="O229" t="s">
        <v>98</v>
      </c>
      <c r="P229" s="3">
        <v>223.92</v>
      </c>
      <c r="Q229" s="3">
        <v>118.25</v>
      </c>
      <c r="R229" s="4">
        <f t="shared" si="6"/>
        <v>0.47190961057520542</v>
      </c>
      <c r="S229">
        <v>3</v>
      </c>
      <c r="T229">
        <v>6</v>
      </c>
      <c r="U229" s="3">
        <f t="shared" si="7"/>
        <v>671.76</v>
      </c>
      <c r="V229" t="s">
        <v>41</v>
      </c>
      <c r="W229" t="s">
        <v>70</v>
      </c>
      <c r="X229">
        <v>3.3</v>
      </c>
      <c r="Y229" t="s">
        <v>43</v>
      </c>
      <c r="Z229">
        <v>750</v>
      </c>
      <c r="AA229" t="s">
        <v>44</v>
      </c>
      <c r="AB229">
        <v>14</v>
      </c>
      <c r="AC229">
        <v>2026</v>
      </c>
      <c r="AD229">
        <v>2036</v>
      </c>
    </row>
    <row r="230" spans="1:30">
      <c r="A230" t="s">
        <v>706</v>
      </c>
      <c r="B230" t="s">
        <v>707</v>
      </c>
      <c r="C230" t="s">
        <v>32</v>
      </c>
      <c r="D230" t="s">
        <v>774</v>
      </c>
      <c r="E230" t="s">
        <v>101</v>
      </c>
      <c r="F230">
        <v>1998</v>
      </c>
      <c r="G230" t="s">
        <v>88</v>
      </c>
      <c r="H230" t="s">
        <v>123</v>
      </c>
      <c r="I230">
        <v>7.6</v>
      </c>
      <c r="J230" t="s">
        <v>36</v>
      </c>
      <c r="K230" t="s">
        <v>59</v>
      </c>
      <c r="L230" t="s">
        <v>37</v>
      </c>
      <c r="M230" t="s">
        <v>59</v>
      </c>
      <c r="N230" t="s">
        <v>290</v>
      </c>
      <c r="O230" t="s">
        <v>195</v>
      </c>
      <c r="P230" s="3">
        <v>51.88</v>
      </c>
      <c r="Q230" s="3">
        <v>36.42</v>
      </c>
      <c r="R230" s="4">
        <f t="shared" si="6"/>
        <v>0.2979953739398612</v>
      </c>
      <c r="S230">
        <v>0</v>
      </c>
      <c r="T230">
        <v>6</v>
      </c>
      <c r="U230" s="3">
        <f t="shared" si="7"/>
        <v>0</v>
      </c>
      <c r="V230" t="s">
        <v>84</v>
      </c>
      <c r="W230" t="s">
        <v>107</v>
      </c>
      <c r="X230">
        <v>5</v>
      </c>
      <c r="Y230" t="s">
        <v>43</v>
      </c>
      <c r="Z230">
        <v>375</v>
      </c>
      <c r="AA230" t="s">
        <v>85</v>
      </c>
      <c r="AB230">
        <v>18</v>
      </c>
      <c r="AC230">
        <v>2025</v>
      </c>
      <c r="AD230">
        <v>2036</v>
      </c>
    </row>
    <row r="231" spans="1:30">
      <c r="A231" t="s">
        <v>708</v>
      </c>
      <c r="B231" t="s">
        <v>709</v>
      </c>
      <c r="C231" t="s">
        <v>56</v>
      </c>
      <c r="D231" t="s">
        <v>768</v>
      </c>
      <c r="E231" t="s">
        <v>75</v>
      </c>
      <c r="F231">
        <v>2003</v>
      </c>
      <c r="G231" t="s">
        <v>88</v>
      </c>
      <c r="H231" t="s">
        <v>152</v>
      </c>
      <c r="I231">
        <v>11.5</v>
      </c>
      <c r="J231" t="s">
        <v>81</v>
      </c>
      <c r="K231" t="s">
        <v>50</v>
      </c>
      <c r="L231" t="s">
        <v>37</v>
      </c>
      <c r="M231" t="s">
        <v>59</v>
      </c>
      <c r="N231" t="s">
        <v>387</v>
      </c>
      <c r="O231" t="s">
        <v>91</v>
      </c>
      <c r="P231" s="3">
        <v>183.58</v>
      </c>
      <c r="Q231" s="3">
        <v>120.77</v>
      </c>
      <c r="R231" s="4">
        <f t="shared" si="6"/>
        <v>0.34213966663035195</v>
      </c>
      <c r="S231">
        <v>1000</v>
      </c>
      <c r="T231">
        <v>36</v>
      </c>
      <c r="U231" s="3">
        <f t="shared" si="7"/>
        <v>183580</v>
      </c>
      <c r="V231" t="s">
        <v>41</v>
      </c>
      <c r="W231" t="s">
        <v>42</v>
      </c>
      <c r="X231">
        <v>4.8</v>
      </c>
      <c r="Y231" t="s">
        <v>43</v>
      </c>
      <c r="Z231">
        <v>375</v>
      </c>
      <c r="AA231" t="s">
        <v>85</v>
      </c>
      <c r="AB231">
        <v>8</v>
      </c>
      <c r="AC231">
        <v>2028</v>
      </c>
      <c r="AD231">
        <v>2035</v>
      </c>
    </row>
    <row r="232" spans="1:30">
      <c r="A232" t="s">
        <v>710</v>
      </c>
      <c r="B232" t="s">
        <v>711</v>
      </c>
      <c r="C232" t="s">
        <v>47</v>
      </c>
      <c r="D232" t="s">
        <v>780</v>
      </c>
      <c r="E232" t="s">
        <v>307</v>
      </c>
      <c r="F232">
        <v>1998</v>
      </c>
      <c r="G232" t="s">
        <v>34</v>
      </c>
      <c r="H232" t="s">
        <v>96</v>
      </c>
      <c r="I232">
        <v>15.7</v>
      </c>
      <c r="J232" t="s">
        <v>36</v>
      </c>
      <c r="K232" t="s">
        <v>50</v>
      </c>
      <c r="L232" t="s">
        <v>59</v>
      </c>
      <c r="M232" t="s">
        <v>38</v>
      </c>
      <c r="N232" t="s">
        <v>51</v>
      </c>
      <c r="O232" t="s">
        <v>118</v>
      </c>
      <c r="P232" s="3">
        <v>117.93</v>
      </c>
      <c r="Q232" s="3">
        <v>57.38</v>
      </c>
      <c r="R232" s="4">
        <f t="shared" si="6"/>
        <v>0.51344017637581618</v>
      </c>
      <c r="S232">
        <v>5</v>
      </c>
      <c r="T232">
        <v>24</v>
      </c>
      <c r="U232" s="3">
        <f t="shared" si="7"/>
        <v>589.65000000000009</v>
      </c>
      <c r="V232" t="s">
        <v>41</v>
      </c>
      <c r="W232" t="s">
        <v>70</v>
      </c>
      <c r="X232">
        <v>4.7</v>
      </c>
      <c r="Y232" t="s">
        <v>43</v>
      </c>
      <c r="Z232">
        <v>750</v>
      </c>
      <c r="AA232" t="s">
        <v>44</v>
      </c>
      <c r="AB232">
        <v>12</v>
      </c>
      <c r="AC232">
        <v>2028</v>
      </c>
      <c r="AD232">
        <v>2033</v>
      </c>
    </row>
    <row r="233" spans="1:30">
      <c r="A233" t="s">
        <v>712</v>
      </c>
      <c r="B233" t="s">
        <v>713</v>
      </c>
      <c r="C233" t="s">
        <v>141</v>
      </c>
      <c r="D233" t="s">
        <v>761</v>
      </c>
      <c r="E233" t="s">
        <v>165</v>
      </c>
      <c r="F233">
        <v>2004</v>
      </c>
      <c r="G233" t="s">
        <v>34</v>
      </c>
      <c r="H233" t="s">
        <v>80</v>
      </c>
      <c r="I233">
        <v>13.4</v>
      </c>
      <c r="J233" t="s">
        <v>36</v>
      </c>
      <c r="K233" t="s">
        <v>59</v>
      </c>
      <c r="L233" t="s">
        <v>59</v>
      </c>
      <c r="M233" t="s">
        <v>38</v>
      </c>
      <c r="N233" t="s">
        <v>205</v>
      </c>
      <c r="O233" t="s">
        <v>98</v>
      </c>
      <c r="P233" s="3">
        <v>287.63</v>
      </c>
      <c r="Q233" s="3">
        <v>128.81</v>
      </c>
      <c r="R233" s="4">
        <f t="shared" si="6"/>
        <v>0.55216771546778842</v>
      </c>
      <c r="S233">
        <v>96</v>
      </c>
      <c r="T233">
        <v>50</v>
      </c>
      <c r="U233" s="3">
        <f t="shared" si="7"/>
        <v>27612.48</v>
      </c>
      <c r="V233" t="s">
        <v>41</v>
      </c>
      <c r="W233" t="s">
        <v>107</v>
      </c>
      <c r="X233">
        <v>3.7</v>
      </c>
      <c r="Y233" t="s">
        <v>43</v>
      </c>
      <c r="Z233">
        <v>750</v>
      </c>
      <c r="AA233" t="s">
        <v>85</v>
      </c>
      <c r="AB233">
        <v>16</v>
      </c>
      <c r="AC233">
        <v>2022</v>
      </c>
      <c r="AD233">
        <v>2026</v>
      </c>
    </row>
    <row r="234" spans="1:30">
      <c r="A234" t="s">
        <v>714</v>
      </c>
      <c r="B234" t="s">
        <v>715</v>
      </c>
      <c r="C234" t="s">
        <v>282</v>
      </c>
      <c r="D234" t="s">
        <v>753</v>
      </c>
      <c r="E234" t="s">
        <v>160</v>
      </c>
      <c r="F234">
        <v>2014</v>
      </c>
      <c r="G234" t="s">
        <v>65</v>
      </c>
      <c r="H234" t="s">
        <v>80</v>
      </c>
      <c r="I234">
        <v>14.2</v>
      </c>
      <c r="J234" t="s">
        <v>81</v>
      </c>
      <c r="K234" t="s">
        <v>59</v>
      </c>
      <c r="L234" t="s">
        <v>37</v>
      </c>
      <c r="M234" t="s">
        <v>67</v>
      </c>
      <c r="N234" t="s">
        <v>157</v>
      </c>
      <c r="O234" t="s">
        <v>230</v>
      </c>
      <c r="P234" s="3">
        <v>317.47000000000003</v>
      </c>
      <c r="Q234" s="3">
        <v>218.85</v>
      </c>
      <c r="R234" s="4">
        <f t="shared" si="6"/>
        <v>0.31064352537247619</v>
      </c>
      <c r="S234">
        <v>96</v>
      </c>
      <c r="T234">
        <v>36</v>
      </c>
      <c r="U234" s="3">
        <f t="shared" si="7"/>
        <v>30477.120000000003</v>
      </c>
      <c r="V234" t="s">
        <v>77</v>
      </c>
      <c r="W234" t="s">
        <v>70</v>
      </c>
      <c r="X234">
        <v>3.2</v>
      </c>
      <c r="Y234" t="s">
        <v>43</v>
      </c>
      <c r="Z234">
        <v>750</v>
      </c>
      <c r="AA234" t="s">
        <v>61</v>
      </c>
      <c r="AB234">
        <v>14</v>
      </c>
      <c r="AC234">
        <v>2021</v>
      </c>
      <c r="AD234">
        <v>2036</v>
      </c>
    </row>
    <row r="235" spans="1:30">
      <c r="A235" t="s">
        <v>716</v>
      </c>
      <c r="B235" t="s">
        <v>717</v>
      </c>
      <c r="C235" t="s">
        <v>121</v>
      </c>
      <c r="D235" t="s">
        <v>793</v>
      </c>
      <c r="E235" t="s">
        <v>219</v>
      </c>
      <c r="F235">
        <v>2021</v>
      </c>
      <c r="G235" t="s">
        <v>34</v>
      </c>
      <c r="H235" t="s">
        <v>66</v>
      </c>
      <c r="I235">
        <v>11.8</v>
      </c>
      <c r="J235" t="s">
        <v>36</v>
      </c>
      <c r="K235" t="s">
        <v>37</v>
      </c>
      <c r="L235" t="s">
        <v>37</v>
      </c>
      <c r="M235" t="s">
        <v>38</v>
      </c>
      <c r="N235" t="s">
        <v>117</v>
      </c>
      <c r="O235" t="s">
        <v>40</v>
      </c>
      <c r="P235" s="3">
        <v>49.17</v>
      </c>
      <c r="Q235" s="3">
        <v>19.579999999999998</v>
      </c>
      <c r="R235" s="4">
        <f t="shared" si="6"/>
        <v>0.6017897091722596</v>
      </c>
      <c r="S235">
        <v>200</v>
      </c>
      <c r="T235">
        <v>50</v>
      </c>
      <c r="U235" s="3">
        <f t="shared" si="7"/>
        <v>9834</v>
      </c>
      <c r="V235" t="s">
        <v>77</v>
      </c>
      <c r="W235" t="s">
        <v>53</v>
      </c>
      <c r="X235">
        <v>4.8</v>
      </c>
      <c r="Y235" t="s">
        <v>71</v>
      </c>
      <c r="Z235">
        <v>750</v>
      </c>
      <c r="AA235" t="s">
        <v>44</v>
      </c>
      <c r="AB235">
        <v>8</v>
      </c>
      <c r="AC235">
        <v>2021</v>
      </c>
      <c r="AD235">
        <v>2026</v>
      </c>
    </row>
    <row r="236" spans="1:30">
      <c r="A236" t="s">
        <v>718</v>
      </c>
      <c r="B236" t="s">
        <v>719</v>
      </c>
      <c r="C236" t="s">
        <v>115</v>
      </c>
      <c r="D236" t="s">
        <v>766</v>
      </c>
      <c r="E236" t="s">
        <v>33</v>
      </c>
      <c r="F236">
        <v>2023</v>
      </c>
      <c r="G236" t="s">
        <v>151</v>
      </c>
      <c r="H236" t="s">
        <v>152</v>
      </c>
      <c r="I236">
        <v>11.5</v>
      </c>
      <c r="J236" t="s">
        <v>81</v>
      </c>
      <c r="K236" t="s">
        <v>37</v>
      </c>
      <c r="L236" t="s">
        <v>37</v>
      </c>
      <c r="M236" t="s">
        <v>67</v>
      </c>
      <c r="N236" t="s">
        <v>286</v>
      </c>
      <c r="O236" t="s">
        <v>190</v>
      </c>
      <c r="P236" s="3">
        <v>246.78</v>
      </c>
      <c r="Q236" s="3">
        <v>170.5</v>
      </c>
      <c r="R236" s="4">
        <f t="shared" si="6"/>
        <v>0.30910122376205529</v>
      </c>
      <c r="S236">
        <v>36</v>
      </c>
      <c r="T236">
        <v>24</v>
      </c>
      <c r="U236" s="3">
        <f t="shared" si="7"/>
        <v>8884.08</v>
      </c>
      <c r="V236" t="s">
        <v>41</v>
      </c>
      <c r="W236" t="s">
        <v>102</v>
      </c>
      <c r="X236">
        <v>4.7</v>
      </c>
      <c r="Y236" t="s">
        <v>71</v>
      </c>
      <c r="Z236">
        <v>1500</v>
      </c>
      <c r="AA236" t="s">
        <v>85</v>
      </c>
      <c r="AB236">
        <v>16</v>
      </c>
      <c r="AC236">
        <v>2022</v>
      </c>
      <c r="AD236">
        <v>2033</v>
      </c>
    </row>
    <row r="237" spans="1:30">
      <c r="A237" t="s">
        <v>720</v>
      </c>
      <c r="B237" t="s">
        <v>721</v>
      </c>
      <c r="C237" t="s">
        <v>141</v>
      </c>
      <c r="D237" t="s">
        <v>765</v>
      </c>
      <c r="E237" t="s">
        <v>237</v>
      </c>
      <c r="F237">
        <v>2007</v>
      </c>
      <c r="G237" t="s">
        <v>34</v>
      </c>
      <c r="H237" t="s">
        <v>58</v>
      </c>
      <c r="I237">
        <v>9.5</v>
      </c>
      <c r="J237" t="s">
        <v>36</v>
      </c>
      <c r="K237" t="s">
        <v>37</v>
      </c>
      <c r="L237" t="s">
        <v>50</v>
      </c>
      <c r="M237" t="s">
        <v>38</v>
      </c>
      <c r="N237" t="s">
        <v>205</v>
      </c>
      <c r="O237" t="s">
        <v>52</v>
      </c>
      <c r="P237" s="3">
        <v>40.28</v>
      </c>
      <c r="Q237" s="3">
        <v>26.89</v>
      </c>
      <c r="R237" s="4">
        <f t="shared" si="6"/>
        <v>0.33242303872889772</v>
      </c>
      <c r="S237">
        <v>3</v>
      </c>
      <c r="T237">
        <v>24</v>
      </c>
      <c r="U237" s="3">
        <f t="shared" si="7"/>
        <v>120.84</v>
      </c>
      <c r="V237" t="s">
        <v>41</v>
      </c>
      <c r="W237" t="s">
        <v>70</v>
      </c>
      <c r="X237">
        <v>3.3</v>
      </c>
      <c r="Y237" t="s">
        <v>71</v>
      </c>
      <c r="Z237">
        <v>1500</v>
      </c>
      <c r="AA237" t="s">
        <v>44</v>
      </c>
      <c r="AB237">
        <v>16</v>
      </c>
      <c r="AC237">
        <v>2026</v>
      </c>
      <c r="AD237">
        <v>2039</v>
      </c>
    </row>
    <row r="238" spans="1:30">
      <c r="A238" t="s">
        <v>722</v>
      </c>
      <c r="B238" t="s">
        <v>723</v>
      </c>
      <c r="C238" t="s">
        <v>282</v>
      </c>
      <c r="D238" t="s">
        <v>794</v>
      </c>
      <c r="E238" t="s">
        <v>165</v>
      </c>
      <c r="F238">
        <v>2015</v>
      </c>
      <c r="G238" t="s">
        <v>88</v>
      </c>
      <c r="H238" t="s">
        <v>89</v>
      </c>
      <c r="I238">
        <v>15.8</v>
      </c>
      <c r="J238" t="s">
        <v>36</v>
      </c>
      <c r="K238" t="s">
        <v>59</v>
      </c>
      <c r="L238" t="s">
        <v>37</v>
      </c>
      <c r="M238" t="s">
        <v>59</v>
      </c>
      <c r="N238" t="s">
        <v>432</v>
      </c>
      <c r="O238" t="s">
        <v>125</v>
      </c>
      <c r="P238" s="3">
        <v>257.45</v>
      </c>
      <c r="Q238" s="3">
        <v>168.59</v>
      </c>
      <c r="R238" s="4">
        <f t="shared" si="6"/>
        <v>0.34515439891241012</v>
      </c>
      <c r="S238">
        <v>1</v>
      </c>
      <c r="T238">
        <v>6</v>
      </c>
      <c r="U238" s="3">
        <f t="shared" si="7"/>
        <v>257.45</v>
      </c>
      <c r="V238" t="s">
        <v>77</v>
      </c>
      <c r="W238" t="s">
        <v>53</v>
      </c>
      <c r="X238">
        <v>4</v>
      </c>
      <c r="Y238" t="s">
        <v>43</v>
      </c>
      <c r="Z238">
        <v>375</v>
      </c>
      <c r="AA238" t="s">
        <v>85</v>
      </c>
      <c r="AB238">
        <v>8</v>
      </c>
      <c r="AC238">
        <v>2026</v>
      </c>
      <c r="AD238">
        <v>2038</v>
      </c>
    </row>
    <row r="239" spans="1:30">
      <c r="A239" t="s">
        <v>724</v>
      </c>
      <c r="B239" t="s">
        <v>725</v>
      </c>
      <c r="C239" t="s">
        <v>32</v>
      </c>
      <c r="D239" t="s">
        <v>794</v>
      </c>
      <c r="E239" t="s">
        <v>57</v>
      </c>
      <c r="F239">
        <v>2012</v>
      </c>
      <c r="G239" t="s">
        <v>34</v>
      </c>
      <c r="H239" t="s">
        <v>242</v>
      </c>
      <c r="I239">
        <v>12.2</v>
      </c>
      <c r="J239" t="s">
        <v>36</v>
      </c>
      <c r="K239" t="s">
        <v>50</v>
      </c>
      <c r="L239" t="s">
        <v>59</v>
      </c>
      <c r="M239" t="s">
        <v>38</v>
      </c>
      <c r="N239" t="s">
        <v>517</v>
      </c>
      <c r="O239" t="s">
        <v>52</v>
      </c>
      <c r="P239" s="3">
        <v>120.08</v>
      </c>
      <c r="Q239" s="3">
        <v>71.510000000000005</v>
      </c>
      <c r="R239" s="4">
        <f t="shared" si="6"/>
        <v>0.40448034643570946</v>
      </c>
      <c r="S239">
        <v>12</v>
      </c>
      <c r="T239">
        <v>6</v>
      </c>
      <c r="U239" s="3">
        <f t="shared" si="7"/>
        <v>1440.96</v>
      </c>
      <c r="V239" t="s">
        <v>41</v>
      </c>
      <c r="W239" t="s">
        <v>102</v>
      </c>
      <c r="X239">
        <v>5</v>
      </c>
      <c r="Y239" t="s">
        <v>43</v>
      </c>
      <c r="Z239">
        <v>750</v>
      </c>
      <c r="AA239" t="s">
        <v>61</v>
      </c>
      <c r="AB239">
        <v>14</v>
      </c>
      <c r="AC239">
        <v>2024</v>
      </c>
      <c r="AD239">
        <v>2039</v>
      </c>
    </row>
    <row r="240" spans="1:30">
      <c r="A240" t="s">
        <v>726</v>
      </c>
      <c r="B240" t="s">
        <v>727</v>
      </c>
      <c r="C240" t="s">
        <v>32</v>
      </c>
      <c r="D240" t="s">
        <v>761</v>
      </c>
      <c r="E240" t="s">
        <v>274</v>
      </c>
      <c r="F240">
        <v>2006</v>
      </c>
      <c r="G240" t="s">
        <v>88</v>
      </c>
      <c r="H240" t="s">
        <v>193</v>
      </c>
      <c r="I240">
        <v>12.7</v>
      </c>
      <c r="J240" t="s">
        <v>36</v>
      </c>
      <c r="K240" t="s">
        <v>37</v>
      </c>
      <c r="L240" t="s">
        <v>37</v>
      </c>
      <c r="M240" t="s">
        <v>59</v>
      </c>
      <c r="N240" t="s">
        <v>542</v>
      </c>
      <c r="O240" t="s">
        <v>195</v>
      </c>
      <c r="P240" s="3">
        <v>1100.45</v>
      </c>
      <c r="Q240" s="3">
        <v>447.77</v>
      </c>
      <c r="R240" s="4">
        <f t="shared" si="6"/>
        <v>0.59310282157299288</v>
      </c>
      <c r="S240">
        <v>72</v>
      </c>
      <c r="T240">
        <v>36</v>
      </c>
      <c r="U240" s="3">
        <f t="shared" si="7"/>
        <v>79232.400000000009</v>
      </c>
      <c r="V240" t="s">
        <v>41</v>
      </c>
      <c r="W240" t="s">
        <v>53</v>
      </c>
      <c r="X240">
        <v>4.2</v>
      </c>
      <c r="Y240" t="s">
        <v>71</v>
      </c>
      <c r="Z240">
        <v>750</v>
      </c>
      <c r="AA240" t="s">
        <v>61</v>
      </c>
      <c r="AB240">
        <v>14</v>
      </c>
      <c r="AC240">
        <v>2025</v>
      </c>
      <c r="AD240">
        <v>2040</v>
      </c>
    </row>
    <row r="241" spans="1:30">
      <c r="A241" t="s">
        <v>728</v>
      </c>
      <c r="B241" t="s">
        <v>729</v>
      </c>
      <c r="C241" t="s">
        <v>141</v>
      </c>
      <c r="D241" t="s">
        <v>767</v>
      </c>
      <c r="E241" t="s">
        <v>313</v>
      </c>
      <c r="F241">
        <v>2021</v>
      </c>
      <c r="G241" t="s">
        <v>88</v>
      </c>
      <c r="H241" t="s">
        <v>193</v>
      </c>
      <c r="I241">
        <v>12.5</v>
      </c>
      <c r="J241" t="s">
        <v>36</v>
      </c>
      <c r="K241" t="s">
        <v>59</v>
      </c>
      <c r="L241" t="s">
        <v>37</v>
      </c>
      <c r="M241" t="s">
        <v>59</v>
      </c>
      <c r="N241" t="s">
        <v>448</v>
      </c>
      <c r="O241" t="s">
        <v>201</v>
      </c>
      <c r="P241" s="3">
        <v>291.77999999999997</v>
      </c>
      <c r="Q241" s="3">
        <v>148.09</v>
      </c>
      <c r="R241" s="4">
        <f t="shared" si="6"/>
        <v>0.4924600726574816</v>
      </c>
      <c r="S241">
        <v>12</v>
      </c>
      <c r="T241">
        <v>6</v>
      </c>
      <c r="U241" s="3">
        <f t="shared" si="7"/>
        <v>3501.3599999999997</v>
      </c>
      <c r="V241" t="s">
        <v>41</v>
      </c>
      <c r="W241" t="s">
        <v>102</v>
      </c>
      <c r="X241">
        <v>4.3</v>
      </c>
      <c r="Y241" t="s">
        <v>43</v>
      </c>
      <c r="Z241">
        <v>750</v>
      </c>
      <c r="AA241" t="s">
        <v>85</v>
      </c>
      <c r="AB241">
        <v>12</v>
      </c>
      <c r="AC241">
        <v>2025</v>
      </c>
      <c r="AD241">
        <v>2030</v>
      </c>
    </row>
    <row r="242" spans="1:30">
      <c r="A242" t="s">
        <v>730</v>
      </c>
      <c r="B242" t="s">
        <v>731</v>
      </c>
      <c r="C242" t="s">
        <v>74</v>
      </c>
      <c r="D242" t="s">
        <v>760</v>
      </c>
      <c r="E242" t="s">
        <v>64</v>
      </c>
      <c r="F242">
        <v>1999</v>
      </c>
      <c r="G242" t="s">
        <v>34</v>
      </c>
      <c r="H242" t="s">
        <v>242</v>
      </c>
      <c r="I242">
        <v>10.4</v>
      </c>
      <c r="J242" t="s">
        <v>36</v>
      </c>
      <c r="K242" t="s">
        <v>50</v>
      </c>
      <c r="L242" t="s">
        <v>50</v>
      </c>
      <c r="M242" t="s">
        <v>38</v>
      </c>
      <c r="N242" t="s">
        <v>112</v>
      </c>
      <c r="O242" t="s">
        <v>40</v>
      </c>
      <c r="P242" s="3">
        <v>93.51</v>
      </c>
      <c r="Q242" s="3">
        <v>35.99</v>
      </c>
      <c r="R242" s="4">
        <f t="shared" si="6"/>
        <v>0.61512137739279227</v>
      </c>
      <c r="S242">
        <v>48</v>
      </c>
      <c r="T242">
        <v>36</v>
      </c>
      <c r="U242" s="3">
        <f t="shared" si="7"/>
        <v>4488.4800000000005</v>
      </c>
      <c r="V242" t="s">
        <v>41</v>
      </c>
      <c r="W242" t="s">
        <v>102</v>
      </c>
      <c r="X242">
        <v>3.9</v>
      </c>
      <c r="Y242" t="s">
        <v>43</v>
      </c>
      <c r="Z242">
        <v>375</v>
      </c>
      <c r="AA242" t="s">
        <v>44</v>
      </c>
      <c r="AB242">
        <v>18</v>
      </c>
      <c r="AC242">
        <v>2027</v>
      </c>
      <c r="AD242">
        <v>2035</v>
      </c>
    </row>
    <row r="243" spans="1:30">
      <c r="A243" t="s">
        <v>732</v>
      </c>
      <c r="B243" t="s">
        <v>733</v>
      </c>
      <c r="C243" t="s">
        <v>74</v>
      </c>
      <c r="D243" t="s">
        <v>769</v>
      </c>
      <c r="E243" t="s">
        <v>188</v>
      </c>
      <c r="F243">
        <v>2025</v>
      </c>
      <c r="G243" t="s">
        <v>88</v>
      </c>
      <c r="H243" t="s">
        <v>135</v>
      </c>
      <c r="I243">
        <v>15.1</v>
      </c>
      <c r="J243" t="s">
        <v>36</v>
      </c>
      <c r="K243" t="s">
        <v>50</v>
      </c>
      <c r="L243" t="s">
        <v>37</v>
      </c>
      <c r="M243" t="s">
        <v>59</v>
      </c>
      <c r="N243" t="s">
        <v>560</v>
      </c>
      <c r="O243" t="s">
        <v>91</v>
      </c>
      <c r="P243" s="3">
        <v>90</v>
      </c>
      <c r="Q243" s="3">
        <v>34.659999999999997</v>
      </c>
      <c r="R243" s="4">
        <f t="shared" si="6"/>
        <v>0.61488888888888893</v>
      </c>
      <c r="S243">
        <v>3</v>
      </c>
      <c r="T243">
        <v>50</v>
      </c>
      <c r="U243" s="3">
        <f t="shared" si="7"/>
        <v>270</v>
      </c>
      <c r="V243" t="s">
        <v>77</v>
      </c>
      <c r="W243" t="s">
        <v>42</v>
      </c>
      <c r="X243">
        <v>3.2</v>
      </c>
      <c r="Y243" t="s">
        <v>43</v>
      </c>
      <c r="Z243">
        <v>750</v>
      </c>
      <c r="AA243" t="s">
        <v>61</v>
      </c>
      <c r="AB243">
        <v>8</v>
      </c>
      <c r="AC243">
        <v>2027</v>
      </c>
      <c r="AD243">
        <v>2033</v>
      </c>
    </row>
    <row r="244" spans="1:30">
      <c r="A244" t="s">
        <v>734</v>
      </c>
      <c r="B244" t="s">
        <v>735</v>
      </c>
      <c r="C244" t="s">
        <v>32</v>
      </c>
      <c r="D244" t="s">
        <v>789</v>
      </c>
      <c r="E244" t="s">
        <v>188</v>
      </c>
      <c r="F244">
        <v>2006</v>
      </c>
      <c r="G244" t="s">
        <v>88</v>
      </c>
      <c r="H244" t="s">
        <v>193</v>
      </c>
      <c r="I244">
        <v>9.1999999999999993</v>
      </c>
      <c r="J244" t="s">
        <v>36</v>
      </c>
      <c r="K244" t="s">
        <v>37</v>
      </c>
      <c r="L244" t="s">
        <v>37</v>
      </c>
      <c r="M244" t="s">
        <v>59</v>
      </c>
      <c r="N244" t="s">
        <v>571</v>
      </c>
      <c r="O244" t="s">
        <v>125</v>
      </c>
      <c r="P244" s="3">
        <v>53.27</v>
      </c>
      <c r="Q244" s="3">
        <v>36.770000000000003</v>
      </c>
      <c r="R244" s="4">
        <f t="shared" si="6"/>
        <v>0.30974281959827293</v>
      </c>
      <c r="S244">
        <v>12</v>
      </c>
      <c r="T244">
        <v>12</v>
      </c>
      <c r="U244" s="3">
        <f t="shared" si="7"/>
        <v>639.24</v>
      </c>
      <c r="V244" t="s">
        <v>41</v>
      </c>
      <c r="W244" t="s">
        <v>70</v>
      </c>
      <c r="X244">
        <v>3.9</v>
      </c>
      <c r="Y244" t="s">
        <v>71</v>
      </c>
      <c r="Z244">
        <v>1500</v>
      </c>
      <c r="AA244" t="s">
        <v>61</v>
      </c>
      <c r="AB244">
        <v>10</v>
      </c>
      <c r="AC244">
        <v>2028</v>
      </c>
      <c r="AD244">
        <v>2039</v>
      </c>
    </row>
    <row r="245" spans="1:30">
      <c r="A245" t="s">
        <v>736</v>
      </c>
      <c r="B245" t="s">
        <v>737</v>
      </c>
      <c r="C245" t="s">
        <v>148</v>
      </c>
      <c r="D245" t="s">
        <v>774</v>
      </c>
      <c r="E245" t="s">
        <v>289</v>
      </c>
      <c r="F245">
        <v>2004</v>
      </c>
      <c r="G245" t="s">
        <v>88</v>
      </c>
      <c r="H245" t="s">
        <v>152</v>
      </c>
      <c r="I245">
        <v>12.9</v>
      </c>
      <c r="J245" t="s">
        <v>36</v>
      </c>
      <c r="K245" t="s">
        <v>59</v>
      </c>
      <c r="L245" t="s">
        <v>37</v>
      </c>
      <c r="M245" t="s">
        <v>59</v>
      </c>
      <c r="N245" t="s">
        <v>602</v>
      </c>
      <c r="O245" t="s">
        <v>195</v>
      </c>
      <c r="P245" s="3">
        <v>164.72</v>
      </c>
      <c r="Q245" s="3">
        <v>94.88</v>
      </c>
      <c r="R245" s="4">
        <f t="shared" si="6"/>
        <v>0.42399222923749397</v>
      </c>
      <c r="S245">
        <v>5</v>
      </c>
      <c r="T245">
        <v>24</v>
      </c>
      <c r="U245" s="3">
        <f t="shared" si="7"/>
        <v>823.6</v>
      </c>
      <c r="V245" t="s">
        <v>41</v>
      </c>
      <c r="W245" t="s">
        <v>102</v>
      </c>
      <c r="X245">
        <v>4</v>
      </c>
      <c r="Y245" t="s">
        <v>43</v>
      </c>
      <c r="Z245">
        <v>750</v>
      </c>
      <c r="AA245" t="s">
        <v>85</v>
      </c>
      <c r="AB245">
        <v>14</v>
      </c>
      <c r="AC245">
        <v>2021</v>
      </c>
      <c r="AD245">
        <v>2031</v>
      </c>
    </row>
    <row r="246" spans="1:30">
      <c r="A246" t="s">
        <v>738</v>
      </c>
      <c r="B246" t="s">
        <v>739</v>
      </c>
      <c r="C246" t="s">
        <v>47</v>
      </c>
      <c r="D246" t="s">
        <v>779</v>
      </c>
      <c r="E246" t="s">
        <v>274</v>
      </c>
      <c r="F246">
        <v>2000</v>
      </c>
      <c r="G246" t="s">
        <v>88</v>
      </c>
      <c r="H246" t="s">
        <v>123</v>
      </c>
      <c r="I246">
        <v>13</v>
      </c>
      <c r="J246" t="s">
        <v>36</v>
      </c>
      <c r="K246" t="s">
        <v>37</v>
      </c>
      <c r="L246" t="s">
        <v>37</v>
      </c>
      <c r="M246" t="s">
        <v>59</v>
      </c>
      <c r="N246" t="s">
        <v>318</v>
      </c>
      <c r="O246" t="s">
        <v>195</v>
      </c>
      <c r="P246" s="3">
        <v>144.84</v>
      </c>
      <c r="Q246" s="3">
        <v>69.17</v>
      </c>
      <c r="R246" s="4">
        <f t="shared" si="6"/>
        <v>0.5224385528859431</v>
      </c>
      <c r="S246">
        <v>1</v>
      </c>
      <c r="T246">
        <v>50</v>
      </c>
      <c r="U246" s="3">
        <f t="shared" si="7"/>
        <v>144.84</v>
      </c>
      <c r="V246" t="s">
        <v>41</v>
      </c>
      <c r="W246" t="s">
        <v>102</v>
      </c>
      <c r="X246">
        <v>4.0999999999999996</v>
      </c>
      <c r="Y246" t="s">
        <v>43</v>
      </c>
      <c r="Z246">
        <v>750</v>
      </c>
      <c r="AA246" t="s">
        <v>85</v>
      </c>
      <c r="AB246">
        <v>12</v>
      </c>
      <c r="AC246">
        <v>2028</v>
      </c>
      <c r="AD246">
        <v>2039</v>
      </c>
    </row>
    <row r="247" spans="1:30">
      <c r="A247" t="s">
        <v>740</v>
      </c>
      <c r="B247" t="s">
        <v>741</v>
      </c>
      <c r="C247" t="s">
        <v>282</v>
      </c>
      <c r="D247" t="s">
        <v>768</v>
      </c>
      <c r="E247" t="s">
        <v>75</v>
      </c>
      <c r="F247">
        <v>2017</v>
      </c>
      <c r="G247" t="s">
        <v>88</v>
      </c>
      <c r="H247" t="s">
        <v>193</v>
      </c>
      <c r="I247">
        <v>9</v>
      </c>
      <c r="J247" t="s">
        <v>81</v>
      </c>
      <c r="K247" t="s">
        <v>59</v>
      </c>
      <c r="L247" t="s">
        <v>37</v>
      </c>
      <c r="M247" t="s">
        <v>59</v>
      </c>
      <c r="N247" t="s">
        <v>90</v>
      </c>
      <c r="O247" t="s">
        <v>125</v>
      </c>
      <c r="P247" s="3">
        <v>92.01</v>
      </c>
      <c r="Q247" s="3">
        <v>39.47</v>
      </c>
      <c r="R247" s="4">
        <f t="shared" si="6"/>
        <v>0.57102488859906531</v>
      </c>
      <c r="S247">
        <v>600</v>
      </c>
      <c r="T247">
        <v>12</v>
      </c>
      <c r="U247" s="3">
        <f t="shared" si="7"/>
        <v>55206</v>
      </c>
      <c r="V247" t="s">
        <v>77</v>
      </c>
      <c r="W247" t="s">
        <v>107</v>
      </c>
      <c r="X247">
        <v>4.2</v>
      </c>
      <c r="Y247" t="s">
        <v>43</v>
      </c>
      <c r="Z247">
        <v>750</v>
      </c>
      <c r="AA247" t="s">
        <v>44</v>
      </c>
      <c r="AB247">
        <v>12</v>
      </c>
      <c r="AC247">
        <v>2023</v>
      </c>
      <c r="AD247">
        <v>2033</v>
      </c>
    </row>
    <row r="248" spans="1:30">
      <c r="A248" t="s">
        <v>742</v>
      </c>
      <c r="B248" t="s">
        <v>743</v>
      </c>
      <c r="C248" t="s">
        <v>121</v>
      </c>
      <c r="D248" t="s">
        <v>754</v>
      </c>
      <c r="E248" t="s">
        <v>142</v>
      </c>
      <c r="F248">
        <v>2004</v>
      </c>
      <c r="G248" t="s">
        <v>34</v>
      </c>
      <c r="H248" t="s">
        <v>242</v>
      </c>
      <c r="I248">
        <v>13</v>
      </c>
      <c r="J248" t="s">
        <v>81</v>
      </c>
      <c r="K248" t="s">
        <v>37</v>
      </c>
      <c r="L248" t="s">
        <v>50</v>
      </c>
      <c r="M248" t="s">
        <v>38</v>
      </c>
      <c r="N248" t="s">
        <v>117</v>
      </c>
      <c r="O248" t="s">
        <v>52</v>
      </c>
      <c r="P248" s="3">
        <v>190.02</v>
      </c>
      <c r="Q248" s="3">
        <v>123.51</v>
      </c>
      <c r="R248" s="4">
        <f t="shared" si="6"/>
        <v>0.35001578781180931</v>
      </c>
      <c r="S248">
        <v>24</v>
      </c>
      <c r="T248">
        <v>12</v>
      </c>
      <c r="U248" s="3">
        <f t="shared" si="7"/>
        <v>4560.4800000000005</v>
      </c>
      <c r="V248" t="s">
        <v>41</v>
      </c>
      <c r="W248" t="s">
        <v>102</v>
      </c>
      <c r="X248">
        <v>3.7</v>
      </c>
      <c r="Y248" t="s">
        <v>43</v>
      </c>
      <c r="Z248">
        <v>375</v>
      </c>
      <c r="AA248" t="s">
        <v>44</v>
      </c>
      <c r="AB248">
        <v>8</v>
      </c>
      <c r="AC248">
        <v>2024</v>
      </c>
      <c r="AD248">
        <v>2033</v>
      </c>
    </row>
    <row r="249" spans="1:30">
      <c r="A249" t="s">
        <v>744</v>
      </c>
      <c r="B249" t="s">
        <v>745</v>
      </c>
      <c r="C249" t="s">
        <v>74</v>
      </c>
      <c r="D249" t="s">
        <v>777</v>
      </c>
      <c r="E249" t="s">
        <v>33</v>
      </c>
      <c r="F249">
        <v>2018</v>
      </c>
      <c r="G249" t="s">
        <v>88</v>
      </c>
      <c r="H249" t="s">
        <v>123</v>
      </c>
      <c r="I249">
        <v>8.5</v>
      </c>
      <c r="J249" t="s">
        <v>36</v>
      </c>
      <c r="K249" t="s">
        <v>50</v>
      </c>
      <c r="L249" t="s">
        <v>37</v>
      </c>
      <c r="M249" t="s">
        <v>59</v>
      </c>
      <c r="N249" t="s">
        <v>299</v>
      </c>
      <c r="O249" t="s">
        <v>201</v>
      </c>
      <c r="P249" s="3">
        <v>241.76</v>
      </c>
      <c r="Q249" s="3">
        <v>136.88</v>
      </c>
      <c r="R249" s="4">
        <f t="shared" si="6"/>
        <v>0.43381866313699535</v>
      </c>
      <c r="S249">
        <v>1000</v>
      </c>
      <c r="T249">
        <v>24</v>
      </c>
      <c r="U249" s="3">
        <f t="shared" si="7"/>
        <v>241760</v>
      </c>
      <c r="V249" t="s">
        <v>41</v>
      </c>
      <c r="W249" t="s">
        <v>42</v>
      </c>
      <c r="X249">
        <v>4.3</v>
      </c>
      <c r="Y249" t="s">
        <v>71</v>
      </c>
      <c r="Z249">
        <v>375</v>
      </c>
      <c r="AA249" t="s">
        <v>44</v>
      </c>
      <c r="AB249">
        <v>18</v>
      </c>
      <c r="AC249">
        <v>2026</v>
      </c>
      <c r="AD249">
        <v>2040</v>
      </c>
    </row>
    <row r="250" spans="1:30">
      <c r="A250" t="s">
        <v>746</v>
      </c>
      <c r="B250" t="s">
        <v>747</v>
      </c>
      <c r="C250" t="s">
        <v>121</v>
      </c>
      <c r="D250" t="s">
        <v>794</v>
      </c>
      <c r="E250" t="s">
        <v>188</v>
      </c>
      <c r="F250">
        <v>2004</v>
      </c>
      <c r="G250" t="s">
        <v>34</v>
      </c>
      <c r="H250" t="s">
        <v>66</v>
      </c>
      <c r="I250">
        <v>12.9</v>
      </c>
      <c r="J250" t="s">
        <v>81</v>
      </c>
      <c r="K250" t="s">
        <v>59</v>
      </c>
      <c r="L250" t="s">
        <v>59</v>
      </c>
      <c r="M250" t="s">
        <v>38</v>
      </c>
      <c r="N250" t="s">
        <v>51</v>
      </c>
      <c r="O250" t="s">
        <v>118</v>
      </c>
      <c r="P250" s="3">
        <v>212.57</v>
      </c>
      <c r="Q250" s="3">
        <v>117.13</v>
      </c>
      <c r="R250" s="4">
        <f t="shared" si="6"/>
        <v>0.44898151197252673</v>
      </c>
      <c r="S250">
        <v>2</v>
      </c>
      <c r="T250">
        <v>12</v>
      </c>
      <c r="U250" s="3">
        <f t="shared" si="7"/>
        <v>425.14</v>
      </c>
      <c r="V250" t="s">
        <v>41</v>
      </c>
      <c r="W250" t="s">
        <v>102</v>
      </c>
      <c r="X250">
        <v>4.4000000000000004</v>
      </c>
      <c r="Y250" t="s">
        <v>43</v>
      </c>
      <c r="Z250">
        <v>750</v>
      </c>
      <c r="AA250" t="s">
        <v>44</v>
      </c>
      <c r="AB250">
        <v>8</v>
      </c>
      <c r="AC250">
        <v>2027</v>
      </c>
      <c r="AD250">
        <v>2031</v>
      </c>
    </row>
    <row r="251" spans="1:30">
      <c r="A251" t="s">
        <v>748</v>
      </c>
      <c r="B251" t="s">
        <v>749</v>
      </c>
      <c r="C251" t="s">
        <v>32</v>
      </c>
      <c r="D251" t="s">
        <v>757</v>
      </c>
      <c r="E251" t="s">
        <v>64</v>
      </c>
      <c r="F251">
        <v>1998</v>
      </c>
      <c r="G251" t="s">
        <v>88</v>
      </c>
      <c r="H251" t="s">
        <v>181</v>
      </c>
      <c r="I251">
        <v>14</v>
      </c>
      <c r="J251" t="s">
        <v>36</v>
      </c>
      <c r="K251" t="s">
        <v>59</v>
      </c>
      <c r="L251" t="s">
        <v>37</v>
      </c>
      <c r="M251" t="s">
        <v>59</v>
      </c>
      <c r="N251" t="s">
        <v>381</v>
      </c>
      <c r="O251" t="s">
        <v>201</v>
      </c>
      <c r="P251" s="3">
        <v>41.66</v>
      </c>
      <c r="Q251" s="3">
        <v>25.21</v>
      </c>
      <c r="R251" s="4">
        <f t="shared" si="6"/>
        <v>0.3948631781084973</v>
      </c>
      <c r="S251">
        <v>12</v>
      </c>
      <c r="T251">
        <v>6</v>
      </c>
      <c r="U251" s="3">
        <f t="shared" si="7"/>
        <v>499.91999999999996</v>
      </c>
      <c r="V251" t="s">
        <v>41</v>
      </c>
      <c r="W251" t="s">
        <v>70</v>
      </c>
      <c r="X251">
        <v>4.8</v>
      </c>
      <c r="Y251" t="s">
        <v>71</v>
      </c>
      <c r="Z251">
        <v>1500</v>
      </c>
      <c r="AA251" t="s">
        <v>44</v>
      </c>
      <c r="AB251">
        <v>14</v>
      </c>
      <c r="AC251">
        <v>2028</v>
      </c>
      <c r="AD251">
        <v>2038</v>
      </c>
    </row>
    <row r="252" spans="1:30">
      <c r="D252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4" customWidth="1"/>
    <col min="2" max="3" width="22" customWidth="1"/>
  </cols>
  <sheetData>
    <row r="1" spans="1:3" ht="30" customHeight="1">
      <c r="A1" s="1" t="s">
        <v>3</v>
      </c>
      <c r="B1" s="1" t="s">
        <v>750</v>
      </c>
      <c r="C1" s="1" t="s">
        <v>751</v>
      </c>
    </row>
    <row r="2" spans="1:3">
      <c r="A2" t="s">
        <v>786</v>
      </c>
      <c r="B2">
        <f>COUNTIF('Wine Inventory'!$D$2:$D$251,A2)</f>
        <v>5</v>
      </c>
      <c r="C2" s="4">
        <f t="shared" ref="C2:C25" si="0">B2/SUM($B$2:$B$46)</f>
        <v>0.02</v>
      </c>
    </row>
    <row r="3" spans="1:3">
      <c r="A3" t="s">
        <v>773</v>
      </c>
      <c r="B3">
        <f>COUNTIF('Wine Inventory'!$D$2:$D$251,A3)</f>
        <v>5</v>
      </c>
      <c r="C3" s="4">
        <f t="shared" si="0"/>
        <v>0.02</v>
      </c>
    </row>
    <row r="4" spans="1:3">
      <c r="A4" t="s">
        <v>771</v>
      </c>
      <c r="B4">
        <f>COUNTIF('Wine Inventory'!$D$2:$D$251,A4)</f>
        <v>6</v>
      </c>
      <c r="C4" s="4">
        <f t="shared" si="0"/>
        <v>2.4E-2</v>
      </c>
    </row>
    <row r="5" spans="1:3">
      <c r="A5" t="s">
        <v>766</v>
      </c>
      <c r="B5">
        <f>COUNTIF('Wine Inventory'!$D$2:$D$251,A5)</f>
        <v>5</v>
      </c>
      <c r="C5" s="4">
        <f t="shared" si="0"/>
        <v>0.02</v>
      </c>
    </row>
    <row r="6" spans="1:3">
      <c r="A6" t="s">
        <v>779</v>
      </c>
      <c r="B6">
        <f>COUNTIF('Wine Inventory'!$D$2:$D$251,A6)</f>
        <v>5</v>
      </c>
      <c r="C6" s="4">
        <f t="shared" si="0"/>
        <v>0.02</v>
      </c>
    </row>
    <row r="7" spans="1:3">
      <c r="A7" t="s">
        <v>774</v>
      </c>
      <c r="B7">
        <f>COUNTIF('Wine Inventory'!$D$2:$D$251,A7)</f>
        <v>5</v>
      </c>
      <c r="C7" s="4">
        <f t="shared" si="0"/>
        <v>0.02</v>
      </c>
    </row>
    <row r="8" spans="1:3">
      <c r="A8" t="s">
        <v>762</v>
      </c>
      <c r="B8">
        <f>COUNTIF('Wine Inventory'!$D$2:$D$251,A8)</f>
        <v>3</v>
      </c>
      <c r="C8" s="4">
        <f t="shared" si="0"/>
        <v>1.2E-2</v>
      </c>
    </row>
    <row r="9" spans="1:3">
      <c r="A9" t="s">
        <v>782</v>
      </c>
      <c r="B9">
        <f>COUNTIF('Wine Inventory'!$D$2:$D$251,A9)</f>
        <v>6</v>
      </c>
      <c r="C9" s="4">
        <f t="shared" si="0"/>
        <v>2.4E-2</v>
      </c>
    </row>
    <row r="10" spans="1:3">
      <c r="A10" t="s">
        <v>764</v>
      </c>
      <c r="B10">
        <f>COUNTIF('Wine Inventory'!$D$2:$D$251,A10)</f>
        <v>6</v>
      </c>
      <c r="C10" s="4">
        <f t="shared" si="0"/>
        <v>2.4E-2</v>
      </c>
    </row>
    <row r="11" spans="1:3">
      <c r="A11" t="s">
        <v>790</v>
      </c>
      <c r="B11">
        <f>COUNTIF('Wine Inventory'!$D$2:$D$251,A11)</f>
        <v>3</v>
      </c>
      <c r="C11" s="4">
        <f t="shared" si="0"/>
        <v>1.2E-2</v>
      </c>
    </row>
    <row r="12" spans="1:3">
      <c r="A12" t="s">
        <v>770</v>
      </c>
      <c r="B12">
        <f>COUNTIF('Wine Inventory'!$D$2:$D$251,A12)</f>
        <v>8</v>
      </c>
      <c r="C12" s="4">
        <f t="shared" si="0"/>
        <v>3.2000000000000001E-2</v>
      </c>
    </row>
    <row r="13" spans="1:3">
      <c r="A13" t="s">
        <v>761</v>
      </c>
      <c r="B13">
        <f>COUNTIF('Wine Inventory'!$D$2:$D$251,A13)</f>
        <v>8</v>
      </c>
      <c r="C13" s="4">
        <f t="shared" si="0"/>
        <v>3.2000000000000001E-2</v>
      </c>
    </row>
    <row r="14" spans="1:3">
      <c r="A14" t="s">
        <v>758</v>
      </c>
      <c r="B14">
        <f>COUNTIF('Wine Inventory'!$D$2:$D$251,A14)</f>
        <v>4</v>
      </c>
      <c r="C14" s="4">
        <f t="shared" si="0"/>
        <v>1.6E-2</v>
      </c>
    </row>
    <row r="15" spans="1:3">
      <c r="A15" t="s">
        <v>789</v>
      </c>
      <c r="B15">
        <f>COUNTIF('Wine Inventory'!$D$2:$D$251,A15)</f>
        <v>8</v>
      </c>
      <c r="C15" s="4">
        <f t="shared" si="0"/>
        <v>3.2000000000000001E-2</v>
      </c>
    </row>
    <row r="16" spans="1:3">
      <c r="A16" t="s">
        <v>776</v>
      </c>
      <c r="B16">
        <f>COUNTIF('Wine Inventory'!$D$2:$D$251,A16)</f>
        <v>5</v>
      </c>
      <c r="C16" s="4">
        <f t="shared" si="0"/>
        <v>0.02</v>
      </c>
    </row>
    <row r="17" spans="1:3">
      <c r="A17" t="s">
        <v>793</v>
      </c>
      <c r="B17">
        <f>COUNTIF('Wine Inventory'!$D$2:$D$251,A17)</f>
        <v>6</v>
      </c>
      <c r="C17" s="4">
        <f t="shared" si="0"/>
        <v>2.4E-2</v>
      </c>
    </row>
    <row r="18" spans="1:3">
      <c r="A18" t="s">
        <v>765</v>
      </c>
      <c r="B18">
        <f>COUNTIF('Wine Inventory'!$D$2:$D$251,A18)</f>
        <v>7</v>
      </c>
      <c r="C18" s="4">
        <f t="shared" si="0"/>
        <v>2.8000000000000001E-2</v>
      </c>
    </row>
    <row r="19" spans="1:3">
      <c r="A19" t="s">
        <v>768</v>
      </c>
      <c r="B19">
        <f>COUNTIF('Wine Inventory'!$D$2:$D$251,A19)</f>
        <v>9</v>
      </c>
      <c r="C19" s="4">
        <f t="shared" si="0"/>
        <v>3.5999999999999997E-2</v>
      </c>
    </row>
    <row r="20" spans="1:3">
      <c r="A20" t="s">
        <v>781</v>
      </c>
      <c r="B20">
        <f>COUNTIF('Wine Inventory'!$D$2:$D$251,A20)</f>
        <v>10</v>
      </c>
      <c r="C20" s="4">
        <f t="shared" si="0"/>
        <v>0.04</v>
      </c>
    </row>
    <row r="21" spans="1:3">
      <c r="A21" t="s">
        <v>760</v>
      </c>
      <c r="B21">
        <f>COUNTIF('Wine Inventory'!$D$2:$D$251,A21)</f>
        <v>4</v>
      </c>
      <c r="C21" s="4">
        <f t="shared" si="0"/>
        <v>1.6E-2</v>
      </c>
    </row>
    <row r="22" spans="1:3">
      <c r="A22" t="s">
        <v>778</v>
      </c>
      <c r="B22">
        <f>COUNTIF('Wine Inventory'!$D$2:$D$251,A22)</f>
        <v>6</v>
      </c>
      <c r="C22" s="4">
        <f t="shared" si="0"/>
        <v>2.4E-2</v>
      </c>
    </row>
    <row r="23" spans="1:3">
      <c r="A23" t="s">
        <v>794</v>
      </c>
      <c r="B23">
        <f>COUNTIF('Wine Inventory'!$D$2:$D$251,A23)</f>
        <v>6</v>
      </c>
      <c r="C23" s="4">
        <f t="shared" si="0"/>
        <v>2.4E-2</v>
      </c>
    </row>
    <row r="24" spans="1:3">
      <c r="A24" t="s">
        <v>787</v>
      </c>
      <c r="B24">
        <f>COUNTIF('Wine Inventory'!$D$2:$D$251,A24)</f>
        <v>3</v>
      </c>
      <c r="C24" s="4">
        <f t="shared" si="0"/>
        <v>1.2E-2</v>
      </c>
    </row>
    <row r="25" spans="1:3">
      <c r="A25" t="s">
        <v>795</v>
      </c>
      <c r="B25">
        <f>COUNTIF('Wine Inventory'!$D$2:$D$251,A25)</f>
        <v>5</v>
      </c>
      <c r="C25" s="4">
        <f t="shared" si="0"/>
        <v>0.02</v>
      </c>
    </row>
    <row r="26" spans="1:3">
      <c r="A26" t="s">
        <v>792</v>
      </c>
      <c r="B26">
        <f>COUNTIF('Wine Inventory'!$D$2:$D$251,A26)</f>
        <v>5</v>
      </c>
      <c r="C26">
        <f t="shared" ref="C26:C46" si="1">B26/SUM($B$2:$B$46)</f>
        <v>0.02</v>
      </c>
    </row>
    <row r="27" spans="1:3">
      <c r="A27" t="s">
        <v>763</v>
      </c>
      <c r="B27">
        <f>COUNTIF('Wine Inventory'!$D$2:$D$251,A27)</f>
        <v>5</v>
      </c>
      <c r="C27">
        <f t="shared" si="1"/>
        <v>0.02</v>
      </c>
    </row>
    <row r="28" spans="1:3">
      <c r="A28" t="s">
        <v>785</v>
      </c>
      <c r="B28">
        <f>COUNTIF('Wine Inventory'!$D$2:$D$251,A28)</f>
        <v>6</v>
      </c>
      <c r="C28">
        <f t="shared" si="1"/>
        <v>2.4E-2</v>
      </c>
    </row>
    <row r="29" spans="1:3">
      <c r="A29" t="s">
        <v>759</v>
      </c>
      <c r="B29">
        <f>COUNTIF('Wine Inventory'!$D$2:$D$251,A29)</f>
        <v>5</v>
      </c>
      <c r="C29">
        <f t="shared" si="1"/>
        <v>0.02</v>
      </c>
    </row>
    <row r="30" spans="1:3">
      <c r="A30" t="s">
        <v>755</v>
      </c>
      <c r="B30">
        <f>COUNTIF('Wine Inventory'!$D$2:$D$251,A30)</f>
        <v>6</v>
      </c>
      <c r="C30">
        <f t="shared" si="1"/>
        <v>2.4E-2</v>
      </c>
    </row>
    <row r="31" spans="1:3">
      <c r="A31" t="s">
        <v>752</v>
      </c>
      <c r="B31">
        <f>COUNTIF('Wine Inventory'!$D$2:$D$251,A31)</f>
        <v>4</v>
      </c>
      <c r="C31">
        <f t="shared" si="1"/>
        <v>1.6E-2</v>
      </c>
    </row>
    <row r="32" spans="1:3">
      <c r="A32" t="s">
        <v>788</v>
      </c>
      <c r="B32">
        <f>COUNTIF('Wine Inventory'!$D$2:$D$251,A32)</f>
        <v>4</v>
      </c>
      <c r="C32">
        <f t="shared" si="1"/>
        <v>1.6E-2</v>
      </c>
    </row>
    <row r="33" spans="1:3">
      <c r="A33" t="s">
        <v>756</v>
      </c>
      <c r="B33">
        <f>COUNTIF('Wine Inventory'!$D$2:$D$251,A33)</f>
        <v>9</v>
      </c>
      <c r="C33">
        <f t="shared" si="1"/>
        <v>3.5999999999999997E-2</v>
      </c>
    </row>
    <row r="34" spans="1:3">
      <c r="A34" t="s">
        <v>777</v>
      </c>
      <c r="B34">
        <f>COUNTIF('Wine Inventory'!$D$2:$D$251,A34)</f>
        <v>7</v>
      </c>
      <c r="C34">
        <f t="shared" si="1"/>
        <v>2.8000000000000001E-2</v>
      </c>
    </row>
    <row r="35" spans="1:3">
      <c r="A35" t="s">
        <v>783</v>
      </c>
      <c r="B35">
        <f>COUNTIF('Wine Inventory'!$D$2:$D$251,A35)</f>
        <v>6</v>
      </c>
      <c r="C35">
        <f t="shared" si="1"/>
        <v>2.4E-2</v>
      </c>
    </row>
    <row r="36" spans="1:3">
      <c r="A36" t="s">
        <v>796</v>
      </c>
      <c r="B36">
        <f>COUNTIF('Wine Inventory'!$D$2:$D$251,A36)</f>
        <v>4</v>
      </c>
      <c r="C36">
        <f t="shared" si="1"/>
        <v>1.6E-2</v>
      </c>
    </row>
    <row r="37" spans="1:3">
      <c r="A37" t="s">
        <v>772</v>
      </c>
      <c r="B37">
        <f>COUNTIF('Wine Inventory'!$D$2:$D$251,A37)</f>
        <v>3</v>
      </c>
      <c r="C37">
        <f t="shared" si="1"/>
        <v>1.2E-2</v>
      </c>
    </row>
    <row r="38" spans="1:3">
      <c r="A38" t="s">
        <v>769</v>
      </c>
      <c r="B38">
        <f>COUNTIF('Wine Inventory'!$D$2:$D$251,A38)</f>
        <v>5</v>
      </c>
      <c r="C38">
        <f t="shared" si="1"/>
        <v>0.02</v>
      </c>
    </row>
    <row r="39" spans="1:3">
      <c r="A39" t="s">
        <v>775</v>
      </c>
      <c r="B39">
        <f>COUNTIF('Wine Inventory'!$D$2:$D$251,A39)</f>
        <v>4</v>
      </c>
      <c r="C39">
        <f t="shared" si="1"/>
        <v>1.6E-2</v>
      </c>
    </row>
    <row r="40" spans="1:3">
      <c r="A40" t="s">
        <v>753</v>
      </c>
      <c r="B40">
        <f>COUNTIF('Wine Inventory'!$D$2:$D$251,A40)</f>
        <v>4</v>
      </c>
      <c r="C40">
        <f t="shared" si="1"/>
        <v>1.6E-2</v>
      </c>
    </row>
    <row r="41" spans="1:3">
      <c r="A41" t="s">
        <v>754</v>
      </c>
      <c r="B41">
        <f>COUNTIF('Wine Inventory'!$D$2:$D$251,A41)</f>
        <v>4</v>
      </c>
      <c r="C41">
        <f t="shared" si="1"/>
        <v>1.6E-2</v>
      </c>
    </row>
    <row r="42" spans="1:3">
      <c r="A42" t="s">
        <v>767</v>
      </c>
      <c r="B42">
        <f>COUNTIF('Wine Inventory'!$D$2:$D$251,A42)</f>
        <v>9</v>
      </c>
      <c r="C42">
        <f t="shared" si="1"/>
        <v>3.5999999999999997E-2</v>
      </c>
    </row>
    <row r="43" spans="1:3">
      <c r="A43" t="s">
        <v>757</v>
      </c>
      <c r="B43">
        <f>COUNTIF('Wine Inventory'!$D$2:$D$251,A43)</f>
        <v>6</v>
      </c>
      <c r="C43">
        <f t="shared" si="1"/>
        <v>2.4E-2</v>
      </c>
    </row>
    <row r="44" spans="1:3">
      <c r="A44" t="s">
        <v>784</v>
      </c>
      <c r="B44">
        <f>COUNTIF('Wine Inventory'!$D$2:$D$251,A44)</f>
        <v>3</v>
      </c>
      <c r="C44">
        <f t="shared" si="1"/>
        <v>1.2E-2</v>
      </c>
    </row>
    <row r="45" spans="1:3">
      <c r="A45" t="s">
        <v>780</v>
      </c>
      <c r="B45">
        <f>COUNTIF('Wine Inventory'!$D$2:$D$251,A45)</f>
        <v>7</v>
      </c>
      <c r="C45">
        <f t="shared" si="1"/>
        <v>2.8000000000000001E-2</v>
      </c>
    </row>
    <row r="46" spans="1:3">
      <c r="A46" t="s">
        <v>791</v>
      </c>
      <c r="B46">
        <f>COUNTIF('Wine Inventory'!$D$2:$D$251,A46)</f>
        <v>6</v>
      </c>
      <c r="C46">
        <f t="shared" si="1"/>
        <v>2.4E-2</v>
      </c>
    </row>
    <row r="47" spans="1:3">
      <c r="A47" t="s">
        <v>797</v>
      </c>
      <c r="B47">
        <f>SUM(B2:B46)</f>
        <v>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 Inventory</vt:lpstr>
      <vt:lpstr>Country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Sutton</cp:lastModifiedBy>
  <dcterms:modified xsi:type="dcterms:W3CDTF">2026-10-20T23:11:21Z</dcterms:modified>
</cp:coreProperties>
</file>